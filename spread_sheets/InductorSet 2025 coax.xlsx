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callaghaninnovationgovtnz-my.sharepoint.com/personal/keith_jones_callaghaninnovation_govt_nz/Documents/KJ/PycharmProjects/UniversalBridge3/spread_sheets/"/>
    </mc:Choice>
  </mc:AlternateContent>
  <xr:revisionPtr revIDLastSave="106" documentId="8_{3EB3A068-DA8B-4511-AEF6-A767CA169F98}" xr6:coauthVersionLast="47" xr6:coauthVersionMax="47" xr10:uidLastSave="{6A9D3066-DDC0-454F-BF66-E368BD09367D}"/>
  <bookViews>
    <workbookView xWindow="-120" yWindow="-120" windowWidth="29040" windowHeight="16440" tabRatio="500" firstSheet="1" activeTab="6" xr2:uid="{00000000-000D-0000-FFFF-FFFF00000000}"/>
  </bookViews>
  <sheets>
    <sheet name="Commentary" sheetId="1" r:id="rId1"/>
    <sheet name="pyUBreadings" sheetId="2" r:id="rId2"/>
    <sheet name="pyUBresults" sheetId="3" r:id="rId3"/>
    <sheet name="pyReport" sheetId="4" r:id="rId4"/>
    <sheet name="re2019" sheetId="10" r:id="rId5"/>
    <sheet name="coax_v_twist" sheetId="9" r:id="rId6"/>
    <sheet name="LHistory" sheetId="8" r:id="rId7"/>
    <sheet name="exampleU" sheetId="5" r:id="rId8"/>
    <sheet name="Room Conditions" sheetId="6" r:id="rId9"/>
    <sheet name="Conditions" sheetId="7" r:id="rId10"/>
  </sheets>
  <definedNames>
    <definedName name="alpha">#REF!</definedName>
    <definedName name="Andeen">#REF!</definedName>
    <definedName name="beta">#REF!</definedName>
    <definedName name="C_1">#REF!</definedName>
    <definedName name="C_standard_uncertainty">#REF!</definedName>
    <definedName name="C_unit_mult">#REF!</definedName>
    <definedName name="correction_c">#REF!</definedName>
    <definedName name="corrections">#REF!</definedName>
    <definedName name="Data">#REF!</definedName>
    <definedName name="Date">#REF!</definedName>
    <definedName name="differentzero">#REF!</definedName>
    <definedName name="frequency">#REF!</definedName>
    <definedName name="G_1">#REF!</definedName>
    <definedName name="G_2">#REF!</definedName>
    <definedName name="G_standard_uncertainty">#REF!</definedName>
    <definedName name="G_unit_mult">#REF!</definedName>
    <definedName name="hist_16">#REF!</definedName>
    <definedName name="hist1074">#REF!</definedName>
    <definedName name="history">#REF!</definedName>
    <definedName name="Inductance">#REF!</definedName>
    <definedName name="inductor1">pyUBresults!$A$3:$AI$12</definedName>
    <definedName name="inductor2">pyUBresults!$A$14:$AI$23</definedName>
    <definedName name="L_standard_uncertainty">#REF!</definedName>
    <definedName name="L_v">#REF!</definedName>
    <definedName name="label">#REF!</definedName>
    <definedName name="multiplier">#REF!</definedName>
    <definedName name="Nominal_Value">#REF!</definedName>
    <definedName name="Old_date">#REF!</definedName>
    <definedName name="Old_Inductance">#REF!</definedName>
    <definedName name="Old_Resistance">#REF!</definedName>
    <definedName name="Params">#REF!</definedName>
    <definedName name="pyvalues">pyUBresults!$Z$2:$AQ$23</definedName>
    <definedName name="R_4A">#REF!</definedName>
    <definedName name="R_4B">#REF!</definedName>
    <definedName name="R_4C">#REF!</definedName>
    <definedName name="R_standard_uncertainty">#REF!</definedName>
    <definedName name="R_v">#REF!</definedName>
    <definedName name="Range">#REF!</definedName>
    <definedName name="Rangex">#REF!</definedName>
    <definedName name="Record">#REF!</definedName>
    <definedName name="Reports">#REF!</definedName>
    <definedName name="Resistance">#REF!</definedName>
    <definedName name="Results">#REF!</definedName>
    <definedName name="ub_uncertainty">#REF!</definedName>
    <definedName name="Uncertainty">#REF!</definedName>
    <definedName name="zer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V17" i="8" l="1"/>
  <c r="V18" i="8"/>
  <c r="V19" i="8"/>
  <c r="V20" i="8"/>
  <c r="V21" i="8"/>
  <c r="V22" i="8"/>
  <c r="V23" i="8"/>
  <c r="V24" i="8"/>
  <c r="V25" i="8"/>
  <c r="V16" i="8"/>
  <c r="K25" i="8"/>
  <c r="K24" i="8"/>
  <c r="K23" i="8"/>
  <c r="K22" i="8"/>
  <c r="K21" i="8"/>
  <c r="K20" i="8"/>
  <c r="K19" i="8"/>
  <c r="K18" i="8"/>
  <c r="K17" i="8"/>
  <c r="K16" i="8"/>
  <c r="J17" i="8"/>
  <c r="J18" i="8"/>
  <c r="J19" i="8"/>
  <c r="J20" i="8"/>
  <c r="J21" i="8"/>
  <c r="J22" i="8"/>
  <c r="J23" i="8"/>
  <c r="J24" i="8"/>
  <c r="J25" i="8"/>
  <c r="J16" i="8"/>
  <c r="J6" i="8"/>
  <c r="K164" i="9"/>
  <c r="K163" i="9"/>
  <c r="K162" i="9"/>
  <c r="K161" i="9"/>
  <c r="K160" i="9"/>
  <c r="K159" i="9"/>
  <c r="K158" i="9"/>
  <c r="K157" i="9"/>
  <c r="K156" i="9"/>
  <c r="K155" i="9"/>
  <c r="W60" i="10" l="1"/>
  <c r="V60" i="10"/>
  <c r="W59" i="10"/>
  <c r="V59" i="10"/>
  <c r="W58" i="10"/>
  <c r="V58" i="10"/>
  <c r="W57" i="10"/>
  <c r="V57" i="10"/>
  <c r="W56" i="10"/>
  <c r="V56" i="10"/>
  <c r="W55" i="10"/>
  <c r="V55" i="10"/>
  <c r="W54" i="10"/>
  <c r="V54" i="10"/>
  <c r="W53" i="10"/>
  <c r="V53" i="10"/>
  <c r="W52" i="10"/>
  <c r="V52" i="10"/>
  <c r="W51" i="10"/>
  <c r="V51" i="10"/>
  <c r="W50" i="10"/>
  <c r="V50" i="10"/>
  <c r="W33" i="10"/>
  <c r="V33" i="10"/>
  <c r="W32" i="10"/>
  <c r="V32" i="10"/>
  <c r="W31" i="10"/>
  <c r="V31" i="10"/>
  <c r="W30" i="10"/>
  <c r="V30" i="10"/>
  <c r="W29" i="10"/>
  <c r="V29" i="10"/>
  <c r="W28" i="10"/>
  <c r="V28" i="10"/>
  <c r="W27" i="10"/>
  <c r="V27" i="10"/>
  <c r="W26" i="10"/>
  <c r="V26" i="10"/>
  <c r="W25" i="10"/>
  <c r="V25" i="10"/>
  <c r="W24" i="10"/>
  <c r="V24" i="10"/>
  <c r="W23" i="10"/>
  <c r="V23" i="10"/>
  <c r="W47" i="10"/>
  <c r="W46" i="10"/>
  <c r="W45" i="10"/>
  <c r="W44" i="10"/>
  <c r="W43" i="10"/>
  <c r="W42" i="10"/>
  <c r="W41" i="10"/>
  <c r="W40" i="10"/>
  <c r="W39" i="10"/>
  <c r="W38" i="10"/>
  <c r="W37" i="10"/>
  <c r="W11" i="10"/>
  <c r="W12" i="10"/>
  <c r="W13" i="10"/>
  <c r="W14" i="10"/>
  <c r="W15" i="10"/>
  <c r="W16" i="10"/>
  <c r="W17" i="10"/>
  <c r="W18" i="10"/>
  <c r="W19" i="10"/>
  <c r="W20" i="10"/>
  <c r="W10" i="10"/>
  <c r="V47" i="10"/>
  <c r="V46" i="10"/>
  <c r="V45" i="10"/>
  <c r="V44" i="10"/>
  <c r="V43" i="10"/>
  <c r="V42" i="10"/>
  <c r="V41" i="10"/>
  <c r="V40" i="10"/>
  <c r="V39" i="10"/>
  <c r="V38" i="10"/>
  <c r="V37" i="10"/>
  <c r="V20" i="10"/>
  <c r="V19" i="10"/>
  <c r="V18" i="10"/>
  <c r="V17" i="10"/>
  <c r="V16" i="10"/>
  <c r="V15" i="10"/>
  <c r="V14" i="10"/>
  <c r="V13" i="10"/>
  <c r="V12" i="10"/>
  <c r="V11" i="10"/>
  <c r="V10" i="10"/>
  <c r="J11" i="10"/>
  <c r="K11" i="10" s="1"/>
  <c r="J12" i="10"/>
  <c r="K12" i="10" s="1"/>
  <c r="J13" i="10"/>
  <c r="K13" i="10" s="1"/>
  <c r="J14" i="10"/>
  <c r="K14" i="10"/>
  <c r="J15" i="10"/>
  <c r="K15" i="10"/>
  <c r="J16" i="10"/>
  <c r="K16" i="10" s="1"/>
  <c r="J17" i="10"/>
  <c r="K17" i="10" s="1"/>
  <c r="J18" i="10"/>
  <c r="K18" i="10" s="1"/>
  <c r="J19" i="10"/>
  <c r="K19" i="10" s="1"/>
  <c r="F24" i="10"/>
  <c r="F25" i="10"/>
  <c r="F26" i="10"/>
  <c r="F27" i="10"/>
  <c r="F28" i="10"/>
  <c r="F29" i="10"/>
  <c r="F30" i="10"/>
  <c r="F31" i="10"/>
  <c r="F32" i="10"/>
  <c r="F23" i="10"/>
  <c r="F11" i="10"/>
  <c r="F12" i="10"/>
  <c r="F13" i="10"/>
  <c r="F14" i="10"/>
  <c r="F15" i="10"/>
  <c r="F16" i="10"/>
  <c r="F17" i="10"/>
  <c r="F18" i="10"/>
  <c r="F19" i="10"/>
  <c r="F10" i="10"/>
  <c r="J10" i="10" s="1"/>
  <c r="K10" i="10" s="1"/>
  <c r="K38" i="10"/>
  <c r="K39" i="10"/>
  <c r="K40" i="10"/>
  <c r="K41" i="10"/>
  <c r="K42" i="10"/>
  <c r="K43" i="10"/>
  <c r="K44" i="10"/>
  <c r="K45" i="10"/>
  <c r="K46" i="10"/>
  <c r="K37" i="10"/>
  <c r="J37" i="10"/>
  <c r="J38" i="10"/>
  <c r="J39" i="10"/>
  <c r="J40" i="10"/>
  <c r="J41" i="10"/>
  <c r="J42" i="10"/>
  <c r="J43" i="10"/>
  <c r="J44" i="10"/>
  <c r="J45" i="10"/>
  <c r="J46" i="10"/>
  <c r="F51" i="10"/>
  <c r="F52" i="10"/>
  <c r="F53" i="10"/>
  <c r="F54" i="10"/>
  <c r="F55" i="10"/>
  <c r="F56" i="10"/>
  <c r="F57" i="10"/>
  <c r="F58" i="10"/>
  <c r="F59" i="10"/>
  <c r="F60" i="10"/>
  <c r="F50" i="10"/>
  <c r="F38" i="10"/>
  <c r="F39" i="10"/>
  <c r="F40" i="10"/>
  <c r="F41" i="10"/>
  <c r="F42" i="10"/>
  <c r="F43" i="10"/>
  <c r="F44" i="10"/>
  <c r="F45" i="10"/>
  <c r="F46" i="10"/>
  <c r="F37" i="10"/>
  <c r="I11" i="10"/>
  <c r="I12" i="10"/>
  <c r="I13" i="10"/>
  <c r="I14" i="10"/>
  <c r="I15" i="10"/>
  <c r="I16" i="10"/>
  <c r="I17" i="10"/>
  <c r="I18" i="10"/>
  <c r="I19" i="10"/>
  <c r="I10" i="10"/>
  <c r="H46" i="10"/>
  <c r="I38" i="10"/>
  <c r="I39" i="10"/>
  <c r="I40" i="10"/>
  <c r="I41" i="10"/>
  <c r="I42" i="10"/>
  <c r="I43" i="10"/>
  <c r="I44" i="10"/>
  <c r="I45" i="10"/>
  <c r="I46" i="10"/>
  <c r="I37" i="10"/>
  <c r="H11" i="10"/>
  <c r="H12" i="10"/>
  <c r="H13" i="10"/>
  <c r="H14" i="10"/>
  <c r="H15" i="10"/>
  <c r="H16" i="10"/>
  <c r="H17" i="10"/>
  <c r="H18" i="10"/>
  <c r="H19" i="10"/>
  <c r="H10" i="10"/>
  <c r="H38" i="10"/>
  <c r="H39" i="10"/>
  <c r="H40" i="10"/>
  <c r="H41" i="10"/>
  <c r="H42" i="10"/>
  <c r="H43" i="10"/>
  <c r="H44" i="10"/>
  <c r="H45" i="10"/>
  <c r="H37" i="10"/>
  <c r="E33" i="10"/>
  <c r="F144" i="9"/>
  <c r="F145" i="9"/>
  <c r="F146" i="9"/>
  <c r="F147" i="9"/>
  <c r="F148" i="9"/>
  <c r="F149" i="9"/>
  <c r="F150" i="9"/>
  <c r="F151" i="9"/>
  <c r="F152" i="9"/>
  <c r="F143" i="9"/>
  <c r="E144" i="9"/>
  <c r="E145" i="9"/>
  <c r="E146" i="9"/>
  <c r="E147" i="9"/>
  <c r="E148" i="9"/>
  <c r="E149" i="9"/>
  <c r="E150" i="9"/>
  <c r="E151" i="9"/>
  <c r="E152" i="9"/>
  <c r="E143" i="9"/>
  <c r="O144" i="9"/>
  <c r="O145" i="9"/>
  <c r="O146" i="9"/>
  <c r="O147" i="9"/>
  <c r="O148" i="9"/>
  <c r="O149" i="9"/>
  <c r="O150" i="9"/>
  <c r="O151" i="9"/>
  <c r="O152" i="9"/>
  <c r="O143" i="9"/>
  <c r="L151" i="9"/>
  <c r="L150" i="9"/>
  <c r="L149" i="9"/>
  <c r="L148" i="9"/>
  <c r="L147" i="9"/>
  <c r="L146" i="9"/>
  <c r="L145" i="9"/>
  <c r="L144" i="9"/>
  <c r="L143" i="9"/>
  <c r="L152" i="9"/>
  <c r="K144" i="9" l="1"/>
  <c r="M144" i="9" s="1"/>
  <c r="K145" i="9"/>
  <c r="M145" i="9" s="1"/>
  <c r="K146" i="9"/>
  <c r="M146" i="9" s="1"/>
  <c r="K147" i="9"/>
  <c r="M147" i="9" s="1"/>
  <c r="K148" i="9"/>
  <c r="M148" i="9" s="1"/>
  <c r="K149" i="9"/>
  <c r="M149" i="9" s="1"/>
  <c r="K150" i="9"/>
  <c r="M150" i="9" s="1"/>
  <c r="K151" i="9"/>
  <c r="M151" i="9" s="1"/>
  <c r="K152" i="9"/>
  <c r="M152" i="9" s="1"/>
  <c r="K143" i="9"/>
  <c r="M143" i="9" s="1"/>
  <c r="F138" i="9"/>
  <c r="F139" i="9"/>
  <c r="E139" i="9"/>
  <c r="E138" i="9"/>
  <c r="E125" i="9"/>
  <c r="D125" i="9"/>
  <c r="L52" i="9"/>
  <c r="L53" i="9"/>
  <c r="L54" i="9"/>
  <c r="L55" i="9"/>
  <c r="L46" i="9"/>
  <c r="K47" i="9"/>
  <c r="L47" i="9" s="1"/>
  <c r="K48" i="9"/>
  <c r="K49" i="9"/>
  <c r="K50" i="9"/>
  <c r="K51" i="9"/>
  <c r="K52" i="9"/>
  <c r="K53" i="9"/>
  <c r="K54" i="9"/>
  <c r="K55" i="9"/>
  <c r="K46" i="9"/>
  <c r="E103" i="9"/>
  <c r="F103" i="9" s="1"/>
  <c r="E104" i="9"/>
  <c r="F104" i="9" s="1"/>
  <c r="E109" i="9"/>
  <c r="F109" i="9" s="1"/>
  <c r="E110" i="9"/>
  <c r="F110" i="9" s="1"/>
  <c r="E111" i="9"/>
  <c r="F111" i="9" s="1"/>
  <c r="B102" i="9"/>
  <c r="E102" i="9" s="1"/>
  <c r="F102" i="9" s="1"/>
  <c r="B81" i="9"/>
  <c r="D104" i="9" s="1"/>
  <c r="B111" i="9"/>
  <c r="B110" i="9"/>
  <c r="B109" i="9"/>
  <c r="B108" i="9"/>
  <c r="E108" i="9" s="1"/>
  <c r="F108" i="9" s="1"/>
  <c r="B107" i="9"/>
  <c r="E107" i="9" s="1"/>
  <c r="F107" i="9" s="1"/>
  <c r="B106" i="9"/>
  <c r="E106" i="9" s="1"/>
  <c r="F106" i="9" s="1"/>
  <c r="B105" i="9"/>
  <c r="B104" i="9"/>
  <c r="B103" i="9"/>
  <c r="E97" i="9"/>
  <c r="F97" i="9" s="1"/>
  <c r="E98" i="9"/>
  <c r="F98" i="9" s="1"/>
  <c r="E96" i="9"/>
  <c r="F96" i="9" s="1"/>
  <c r="J86" i="9"/>
  <c r="J87" i="9"/>
  <c r="J88" i="9"/>
  <c r="J89" i="9"/>
  <c r="J90" i="9"/>
  <c r="E82" i="9"/>
  <c r="K82" i="9" s="1"/>
  <c r="E86" i="9"/>
  <c r="K86" i="9" s="1"/>
  <c r="E87" i="9"/>
  <c r="K87" i="9" s="1"/>
  <c r="E88" i="9"/>
  <c r="K88" i="9" s="1"/>
  <c r="E89" i="9"/>
  <c r="K89" i="9" s="1"/>
  <c r="E90" i="9"/>
  <c r="K90" i="9" s="1"/>
  <c r="B83" i="9"/>
  <c r="J83" i="9" s="1"/>
  <c r="B84" i="9"/>
  <c r="B85" i="9"/>
  <c r="D85" i="9" s="1"/>
  <c r="B86" i="9"/>
  <c r="B87" i="9"/>
  <c r="B88" i="9"/>
  <c r="B89" i="9"/>
  <c r="B90" i="9"/>
  <c r="B82" i="9"/>
  <c r="J82" i="9" s="1"/>
  <c r="I47" i="9"/>
  <c r="H82" i="9" s="1"/>
  <c r="I48" i="9"/>
  <c r="H83" i="9" s="1"/>
  <c r="I49" i="9"/>
  <c r="H84" i="9" s="1"/>
  <c r="I50" i="9"/>
  <c r="H85" i="9" s="1"/>
  <c r="I51" i="9"/>
  <c r="H86" i="9" s="1"/>
  <c r="I52" i="9"/>
  <c r="H87" i="9" s="1"/>
  <c r="I53" i="9"/>
  <c r="H88" i="9" s="1"/>
  <c r="I54" i="9"/>
  <c r="H89" i="9" s="1"/>
  <c r="I55" i="9"/>
  <c r="H90" i="9" s="1"/>
  <c r="I46" i="9"/>
  <c r="I57" i="9" s="1"/>
  <c r="G46" i="9"/>
  <c r="E47" i="9"/>
  <c r="G47" i="9" s="1"/>
  <c r="E48" i="9"/>
  <c r="G48" i="9" s="1"/>
  <c r="E49" i="9"/>
  <c r="G49" i="9" s="1"/>
  <c r="E50" i="9"/>
  <c r="G50" i="9" s="1"/>
  <c r="E51" i="9"/>
  <c r="G51" i="9" s="1"/>
  <c r="E52" i="9"/>
  <c r="G52" i="9" s="1"/>
  <c r="E53" i="9"/>
  <c r="G53" i="9" s="1"/>
  <c r="E54" i="9"/>
  <c r="G54" i="9" s="1"/>
  <c r="E55" i="9"/>
  <c r="G55" i="9" s="1"/>
  <c r="E46" i="9"/>
  <c r="I22" i="9"/>
  <c r="K22" i="9" s="1"/>
  <c r="I23" i="9"/>
  <c r="K23" i="9" s="1"/>
  <c r="I21" i="9"/>
  <c r="K21" i="9" s="1"/>
  <c r="E22" i="9"/>
  <c r="G22" i="9" s="1"/>
  <c r="E23" i="9"/>
  <c r="G23" i="9" s="1"/>
  <c r="E21" i="9"/>
  <c r="G21" i="9" s="1"/>
  <c r="E35" i="9"/>
  <c r="G35" i="9" s="1"/>
  <c r="E34" i="9"/>
  <c r="G34" i="9" s="1"/>
  <c r="E8" i="9"/>
  <c r="G8" i="9" s="1"/>
  <c r="E9" i="9"/>
  <c r="G9" i="9" s="1"/>
  <c r="E10" i="9"/>
  <c r="G10" i="9" s="1"/>
  <c r="E7" i="9"/>
  <c r="G7" i="9" s="1"/>
  <c r="E14" i="9"/>
  <c r="G14" i="9" s="1"/>
  <c r="E15" i="9"/>
  <c r="G15" i="9" s="1"/>
  <c r="E13" i="9"/>
  <c r="G13" i="9" s="1"/>
  <c r="T6" i="8"/>
  <c r="U5" i="8"/>
  <c r="T5" i="8"/>
  <c r="T17" i="8"/>
  <c r="T18" i="8"/>
  <c r="T19" i="8"/>
  <c r="T20" i="8"/>
  <c r="T21" i="8"/>
  <c r="T22" i="8"/>
  <c r="T23" i="8"/>
  <c r="T24" i="8"/>
  <c r="T25" i="8"/>
  <c r="T16" i="8"/>
  <c r="J7" i="8"/>
  <c r="T7" i="8" s="1"/>
  <c r="J8" i="8"/>
  <c r="T8" i="8" s="1"/>
  <c r="J9" i="8"/>
  <c r="T9" i="8" s="1"/>
  <c r="J10" i="8"/>
  <c r="T10" i="8" s="1"/>
  <c r="J11" i="8"/>
  <c r="T11" i="8" s="1"/>
  <c r="J12" i="8"/>
  <c r="T12" i="8" s="1"/>
  <c r="J13" i="8"/>
  <c r="T13" i="8" s="1"/>
  <c r="J14" i="8"/>
  <c r="T14" i="8" s="1"/>
  <c r="J15" i="8"/>
  <c r="T15" i="8" s="1"/>
  <c r="W25" i="8"/>
  <c r="S25" i="8"/>
  <c r="R25" i="8"/>
  <c r="Q25" i="8"/>
  <c r="P25" i="8"/>
  <c r="O25" i="8"/>
  <c r="N25" i="8"/>
  <c r="W24" i="8"/>
  <c r="S24" i="8"/>
  <c r="R24" i="8"/>
  <c r="Q24" i="8"/>
  <c r="P24" i="8"/>
  <c r="O24" i="8"/>
  <c r="N24" i="8"/>
  <c r="W23" i="8"/>
  <c r="S23" i="8"/>
  <c r="R23" i="8"/>
  <c r="Q23" i="8"/>
  <c r="P23" i="8"/>
  <c r="O23" i="8"/>
  <c r="N23" i="8"/>
  <c r="W22" i="8"/>
  <c r="S22" i="8"/>
  <c r="R22" i="8"/>
  <c r="Q22" i="8"/>
  <c r="P22" i="8"/>
  <c r="O22" i="8"/>
  <c r="N22" i="8"/>
  <c r="W21" i="8"/>
  <c r="S21" i="8"/>
  <c r="R21" i="8"/>
  <c r="Q21" i="8"/>
  <c r="P21" i="8"/>
  <c r="O21" i="8"/>
  <c r="N21" i="8"/>
  <c r="W20" i="8"/>
  <c r="S20" i="8"/>
  <c r="R20" i="8"/>
  <c r="Q20" i="8"/>
  <c r="P20" i="8"/>
  <c r="O20" i="8"/>
  <c r="N20" i="8"/>
  <c r="W19" i="8"/>
  <c r="S19" i="8"/>
  <c r="R19" i="8"/>
  <c r="Q19" i="8"/>
  <c r="P19" i="8"/>
  <c r="O19" i="8"/>
  <c r="N19" i="8"/>
  <c r="W18" i="8"/>
  <c r="S18" i="8"/>
  <c r="R18" i="8"/>
  <c r="Q18" i="8"/>
  <c r="P18" i="8"/>
  <c r="O18" i="8"/>
  <c r="N18" i="8"/>
  <c r="W17" i="8"/>
  <c r="S17" i="8"/>
  <c r="R17" i="8"/>
  <c r="Q17" i="8"/>
  <c r="P17" i="8"/>
  <c r="O17" i="8"/>
  <c r="N17" i="8"/>
  <c r="W16" i="8"/>
  <c r="S16" i="8"/>
  <c r="R16" i="8"/>
  <c r="Q16" i="8"/>
  <c r="P16" i="8"/>
  <c r="O16" i="8"/>
  <c r="N16" i="8"/>
  <c r="W15" i="8"/>
  <c r="S15" i="8"/>
  <c r="R15" i="8"/>
  <c r="Q15" i="8"/>
  <c r="P15" i="8"/>
  <c r="O15" i="8"/>
  <c r="N15" i="8"/>
  <c r="W14" i="8"/>
  <c r="S14" i="8"/>
  <c r="R14" i="8"/>
  <c r="Q14" i="8"/>
  <c r="P14" i="8"/>
  <c r="O14" i="8"/>
  <c r="N14" i="8"/>
  <c r="W13" i="8"/>
  <c r="S13" i="8"/>
  <c r="R13" i="8"/>
  <c r="Q13" i="8"/>
  <c r="P13" i="8"/>
  <c r="O13" i="8"/>
  <c r="N13" i="8"/>
  <c r="W12" i="8"/>
  <c r="S12" i="8"/>
  <c r="R12" i="8"/>
  <c r="Q12" i="8"/>
  <c r="P12" i="8"/>
  <c r="O12" i="8"/>
  <c r="N12" i="8"/>
  <c r="W11" i="8"/>
  <c r="S11" i="8"/>
  <c r="R11" i="8"/>
  <c r="Q11" i="8"/>
  <c r="P11" i="8"/>
  <c r="O11" i="8"/>
  <c r="N11" i="8"/>
  <c r="W10" i="8"/>
  <c r="S10" i="8"/>
  <c r="R10" i="8"/>
  <c r="Q10" i="8"/>
  <c r="P10" i="8"/>
  <c r="O10" i="8"/>
  <c r="N10" i="8"/>
  <c r="W9" i="8"/>
  <c r="S9" i="8"/>
  <c r="R9" i="8"/>
  <c r="Q9" i="8"/>
  <c r="P9" i="8"/>
  <c r="O9" i="8"/>
  <c r="N9" i="8"/>
  <c r="W8" i="8"/>
  <c r="S8" i="8"/>
  <c r="R8" i="8"/>
  <c r="Q8" i="8"/>
  <c r="P8" i="8"/>
  <c r="O8" i="8"/>
  <c r="N8" i="8"/>
  <c r="W7" i="8"/>
  <c r="S7" i="8"/>
  <c r="R7" i="8"/>
  <c r="Q7" i="8"/>
  <c r="P7" i="8"/>
  <c r="O7" i="8"/>
  <c r="N7" i="8"/>
  <c r="W6" i="8"/>
  <c r="S6" i="8"/>
  <c r="R6" i="8"/>
  <c r="Q6" i="8"/>
  <c r="P6" i="8"/>
  <c r="O6" i="8"/>
  <c r="N6" i="8"/>
  <c r="S5" i="8"/>
  <c r="R5" i="8"/>
  <c r="L90" i="9" l="1"/>
  <c r="D81" i="9"/>
  <c r="L87" i="9"/>
  <c r="L86" i="9"/>
  <c r="L48" i="9"/>
  <c r="D88" i="9"/>
  <c r="E85" i="9"/>
  <c r="K85" i="9" s="1"/>
  <c r="D84" i="9"/>
  <c r="D83" i="9"/>
  <c r="L89" i="9"/>
  <c r="D105" i="9"/>
  <c r="L51" i="9"/>
  <c r="L88" i="9"/>
  <c r="L49" i="9"/>
  <c r="D87" i="9"/>
  <c r="E84" i="9"/>
  <c r="K84" i="9" s="1"/>
  <c r="L82" i="9"/>
  <c r="J81" i="9"/>
  <c r="E81" i="9"/>
  <c r="K81" i="9" s="1"/>
  <c r="L50" i="9"/>
  <c r="D90" i="9"/>
  <c r="J85" i="9"/>
  <c r="J84" i="9"/>
  <c r="D86" i="9"/>
  <c r="E83" i="9"/>
  <c r="K83" i="9" s="1"/>
  <c r="L83" i="9" s="1"/>
  <c r="E105" i="9"/>
  <c r="F105" i="9" s="1"/>
  <c r="D106" i="9"/>
  <c r="D102" i="9"/>
  <c r="D107" i="9"/>
  <c r="D82" i="9"/>
  <c r="D103" i="9"/>
  <c r="D89" i="9"/>
  <c r="D108" i="9"/>
  <c r="D109" i="9"/>
  <c r="D110" i="9"/>
  <c r="D111" i="9"/>
  <c r="H81" i="9"/>
  <c r="F90" i="9"/>
  <c r="G90" i="9" s="1"/>
  <c r="I90" i="9" s="1"/>
  <c r="F89" i="9"/>
  <c r="G89" i="9" s="1"/>
  <c r="I89" i="9" s="1"/>
  <c r="F88" i="9"/>
  <c r="G88" i="9" s="1"/>
  <c r="I88" i="9" s="1"/>
  <c r="F87" i="9"/>
  <c r="G87" i="9" s="1"/>
  <c r="I87" i="9" s="1"/>
  <c r="F86" i="9"/>
  <c r="G86" i="9" s="1"/>
  <c r="I86" i="9" s="1"/>
  <c r="F85" i="9"/>
  <c r="G85" i="9" s="1"/>
  <c r="I85" i="9" s="1"/>
  <c r="F84" i="9"/>
  <c r="G84" i="9" s="1"/>
  <c r="I84" i="9" s="1"/>
  <c r="F83" i="9"/>
  <c r="G83" i="9" s="1"/>
  <c r="I83" i="9" s="1"/>
  <c r="F82" i="9"/>
  <c r="G82" i="9" s="1"/>
  <c r="I82" i="9" s="1"/>
  <c r="G57" i="9"/>
  <c r="G4" i="7"/>
  <c r="F4" i="7"/>
  <c r="D4" i="7"/>
  <c r="C4" i="7"/>
  <c r="D2" i="7"/>
  <c r="C2" i="7"/>
  <c r="G4" i="6"/>
  <c r="E4" i="6"/>
  <c r="H3" i="6"/>
  <c r="G3" i="6"/>
  <c r="E3" i="6"/>
  <c r="I25" i="4"/>
  <c r="H25" i="4"/>
  <c r="G25" i="4"/>
  <c r="F25" i="4"/>
  <c r="E25" i="4"/>
  <c r="D25" i="4"/>
  <c r="U25" i="8" s="1"/>
  <c r="I24" i="4"/>
  <c r="H24" i="4"/>
  <c r="G24" i="4"/>
  <c r="F24" i="4"/>
  <c r="E24" i="4"/>
  <c r="D24" i="4"/>
  <c r="U24" i="8" s="1"/>
  <c r="I23" i="4"/>
  <c r="H23" i="4"/>
  <c r="G23" i="4"/>
  <c r="T23" i="4" s="1"/>
  <c r="F23" i="4"/>
  <c r="E23" i="4"/>
  <c r="D23" i="4"/>
  <c r="U23" i="8" s="1"/>
  <c r="I22" i="4"/>
  <c r="H22" i="4"/>
  <c r="G22" i="4"/>
  <c r="T22" i="4" s="1"/>
  <c r="F22" i="4"/>
  <c r="E22" i="4"/>
  <c r="D22" i="4"/>
  <c r="U22" i="8" s="1"/>
  <c r="I21" i="4"/>
  <c r="H21" i="4"/>
  <c r="G21" i="4"/>
  <c r="T21" i="4" s="1"/>
  <c r="F21" i="4"/>
  <c r="E21" i="4"/>
  <c r="D21" i="4"/>
  <c r="U21" i="8" s="1"/>
  <c r="I20" i="4"/>
  <c r="H20" i="4"/>
  <c r="G20" i="4"/>
  <c r="T20" i="4" s="1"/>
  <c r="F20" i="4"/>
  <c r="E20" i="4"/>
  <c r="D20" i="4"/>
  <c r="U20" i="8" s="1"/>
  <c r="I19" i="4"/>
  <c r="H19" i="4"/>
  <c r="G19" i="4"/>
  <c r="T19" i="4" s="1"/>
  <c r="F19" i="4"/>
  <c r="E19" i="4"/>
  <c r="D19" i="4"/>
  <c r="U19" i="8" s="1"/>
  <c r="I18" i="4"/>
  <c r="H18" i="4"/>
  <c r="G18" i="4"/>
  <c r="T18" i="4" s="1"/>
  <c r="F18" i="4"/>
  <c r="E18" i="4"/>
  <c r="D18" i="4"/>
  <c r="U18" i="8" s="1"/>
  <c r="I17" i="4"/>
  <c r="H17" i="4"/>
  <c r="G17" i="4"/>
  <c r="T17" i="4" s="1"/>
  <c r="F17" i="4"/>
  <c r="E17" i="4"/>
  <c r="D17" i="4"/>
  <c r="U17" i="8" s="1"/>
  <c r="I16" i="4"/>
  <c r="H16" i="4"/>
  <c r="G16" i="4"/>
  <c r="T16" i="4" s="1"/>
  <c r="F16" i="4"/>
  <c r="E16" i="4"/>
  <c r="D16" i="4"/>
  <c r="U16" i="8" s="1"/>
  <c r="I13" i="4"/>
  <c r="H13" i="4"/>
  <c r="G13" i="4"/>
  <c r="T13" i="4" s="1"/>
  <c r="F13" i="4"/>
  <c r="E13" i="4"/>
  <c r="D13" i="4"/>
  <c r="K15" i="8" s="1"/>
  <c r="U15" i="8" s="1"/>
  <c r="I12" i="4"/>
  <c r="H12" i="4"/>
  <c r="G12" i="4"/>
  <c r="T12" i="4" s="1"/>
  <c r="F12" i="4"/>
  <c r="E12" i="4"/>
  <c r="D12" i="4"/>
  <c r="K14" i="8" s="1"/>
  <c r="U14" i="8" s="1"/>
  <c r="I11" i="4"/>
  <c r="H11" i="4"/>
  <c r="G11" i="4"/>
  <c r="T11" i="4" s="1"/>
  <c r="F11" i="4"/>
  <c r="E11" i="4"/>
  <c r="D11" i="4"/>
  <c r="K13" i="8" s="1"/>
  <c r="U13" i="8" s="1"/>
  <c r="I10" i="4"/>
  <c r="H10" i="4"/>
  <c r="G10" i="4"/>
  <c r="T10" i="4" s="1"/>
  <c r="F10" i="4"/>
  <c r="E10" i="4"/>
  <c r="D10" i="4"/>
  <c r="K12" i="8" s="1"/>
  <c r="U12" i="8" s="1"/>
  <c r="I9" i="4"/>
  <c r="H9" i="4"/>
  <c r="G9" i="4"/>
  <c r="T9" i="4" s="1"/>
  <c r="F9" i="4"/>
  <c r="E9" i="4"/>
  <c r="D9" i="4"/>
  <c r="K11" i="8" s="1"/>
  <c r="U11" i="8" s="1"/>
  <c r="I8" i="4"/>
  <c r="H8" i="4"/>
  <c r="G8" i="4"/>
  <c r="T8" i="4" s="1"/>
  <c r="F8" i="4"/>
  <c r="E8" i="4"/>
  <c r="D8" i="4"/>
  <c r="K10" i="8" s="1"/>
  <c r="U10" i="8" s="1"/>
  <c r="I7" i="4"/>
  <c r="H7" i="4"/>
  <c r="G7" i="4"/>
  <c r="T7" i="4" s="1"/>
  <c r="F7" i="4"/>
  <c r="E7" i="4"/>
  <c r="D7" i="4"/>
  <c r="K9" i="8" s="1"/>
  <c r="U9" i="8" s="1"/>
  <c r="I6" i="4"/>
  <c r="H6" i="4"/>
  <c r="G6" i="4"/>
  <c r="T6" i="4" s="1"/>
  <c r="F6" i="4"/>
  <c r="E6" i="4"/>
  <c r="D6" i="4"/>
  <c r="K8" i="8" s="1"/>
  <c r="U8" i="8" s="1"/>
  <c r="I5" i="4"/>
  <c r="H5" i="4"/>
  <c r="G5" i="4"/>
  <c r="T5" i="4" s="1"/>
  <c r="F5" i="4"/>
  <c r="E5" i="4"/>
  <c r="D5" i="4"/>
  <c r="K7" i="8" s="1"/>
  <c r="U7" i="8" s="1"/>
  <c r="I4" i="4"/>
  <c r="H4" i="4"/>
  <c r="G4" i="4"/>
  <c r="T4" i="4" s="1"/>
  <c r="F4" i="4"/>
  <c r="E4" i="4"/>
  <c r="D4" i="4"/>
  <c r="K6" i="8" s="1"/>
  <c r="U6" i="8" s="1"/>
  <c r="AI23" i="3"/>
  <c r="AH23" i="3"/>
  <c r="AG23" i="3"/>
  <c r="AF23" i="3"/>
  <c r="AD23" i="3"/>
  <c r="AC23" i="3"/>
  <c r="AB23" i="3"/>
  <c r="Z23" i="3"/>
  <c r="Y23" i="3"/>
  <c r="X23" i="3"/>
  <c r="AI22" i="3"/>
  <c r="AH22" i="3"/>
  <c r="AG22" i="3"/>
  <c r="AF22" i="3"/>
  <c r="AD22" i="3"/>
  <c r="AC22" i="3"/>
  <c r="AB22" i="3"/>
  <c r="Z22" i="3"/>
  <c r="Y22" i="3"/>
  <c r="X22" i="3"/>
  <c r="AI21" i="3"/>
  <c r="AH21" i="3"/>
  <c r="AG21" i="3"/>
  <c r="AF21" i="3"/>
  <c r="AD21" i="3"/>
  <c r="AC21" i="3"/>
  <c r="AB21" i="3"/>
  <c r="Z21" i="3"/>
  <c r="Y21" i="3"/>
  <c r="X21" i="3"/>
  <c r="AI20" i="3"/>
  <c r="AH20" i="3"/>
  <c r="AG20" i="3"/>
  <c r="AF20" i="3"/>
  <c r="AD20" i="3"/>
  <c r="AC20" i="3"/>
  <c r="AB20" i="3"/>
  <c r="Z20" i="3"/>
  <c r="Y20" i="3"/>
  <c r="X20" i="3"/>
  <c r="AI19" i="3"/>
  <c r="AH19" i="3"/>
  <c r="AG19" i="3"/>
  <c r="AF19" i="3"/>
  <c r="AD19" i="3"/>
  <c r="AC19" i="3"/>
  <c r="AB19" i="3"/>
  <c r="Z19" i="3"/>
  <c r="Y19" i="3"/>
  <c r="X19" i="3"/>
  <c r="AI18" i="3"/>
  <c r="AH18" i="3"/>
  <c r="AG18" i="3"/>
  <c r="AF18" i="3"/>
  <c r="AD18" i="3"/>
  <c r="AC18" i="3"/>
  <c r="AB18" i="3"/>
  <c r="Z18" i="3"/>
  <c r="Y18" i="3"/>
  <c r="X18" i="3"/>
  <c r="AI17" i="3"/>
  <c r="AH17" i="3"/>
  <c r="AG17" i="3"/>
  <c r="AF17" i="3"/>
  <c r="AD17" i="3"/>
  <c r="AC17" i="3"/>
  <c r="AB17" i="3"/>
  <c r="Z17" i="3"/>
  <c r="Y17" i="3"/>
  <c r="X17" i="3"/>
  <c r="AI16" i="3"/>
  <c r="AH16" i="3"/>
  <c r="AG16" i="3"/>
  <c r="AF16" i="3"/>
  <c r="AD16" i="3"/>
  <c r="AC16" i="3"/>
  <c r="AB16" i="3"/>
  <c r="Z16" i="3"/>
  <c r="Y16" i="3"/>
  <c r="X16" i="3"/>
  <c r="AI15" i="3"/>
  <c r="AH15" i="3"/>
  <c r="AG15" i="3"/>
  <c r="AF15" i="3"/>
  <c r="AD15" i="3"/>
  <c r="AC15" i="3"/>
  <c r="AB15" i="3"/>
  <c r="Z15" i="3"/>
  <c r="Y15" i="3"/>
  <c r="X15" i="3"/>
  <c r="AI14" i="3"/>
  <c r="AH14" i="3"/>
  <c r="AG14" i="3"/>
  <c r="AF14" i="3"/>
  <c r="AD14" i="3"/>
  <c r="AC14" i="3"/>
  <c r="AB14" i="3"/>
  <c r="Z14" i="3"/>
  <c r="Y14" i="3"/>
  <c r="X14" i="3"/>
  <c r="AI13" i="3"/>
  <c r="AH13" i="3"/>
  <c r="AG13" i="3"/>
  <c r="AF13" i="3"/>
  <c r="AD13" i="3"/>
  <c r="AC13" i="3"/>
  <c r="AB13" i="3"/>
  <c r="Z13" i="3"/>
  <c r="Y13" i="3"/>
  <c r="X13" i="3"/>
  <c r="AI12" i="3"/>
  <c r="AH12" i="3"/>
  <c r="AG12" i="3"/>
  <c r="AF12" i="3"/>
  <c r="AD12" i="3"/>
  <c r="AC12" i="3"/>
  <c r="AB12" i="3"/>
  <c r="Z12" i="3"/>
  <c r="Y12" i="3"/>
  <c r="X12" i="3"/>
  <c r="AI11" i="3"/>
  <c r="AH11" i="3"/>
  <c r="AG11" i="3"/>
  <c r="AF11" i="3"/>
  <c r="AD11" i="3"/>
  <c r="AC11" i="3"/>
  <c r="AB11" i="3"/>
  <c r="Z11" i="3"/>
  <c r="Y11" i="3"/>
  <c r="X11" i="3"/>
  <c r="AI10" i="3"/>
  <c r="AH10" i="3"/>
  <c r="AG10" i="3"/>
  <c r="AF10" i="3"/>
  <c r="AD10" i="3"/>
  <c r="AC10" i="3"/>
  <c r="AB10" i="3"/>
  <c r="Z10" i="3"/>
  <c r="Y10" i="3"/>
  <c r="X10" i="3"/>
  <c r="AI9" i="3"/>
  <c r="AH9" i="3"/>
  <c r="AG9" i="3"/>
  <c r="AF9" i="3"/>
  <c r="AD9" i="3"/>
  <c r="AC9" i="3"/>
  <c r="AB9" i="3"/>
  <c r="Z9" i="3"/>
  <c r="Y9" i="3"/>
  <c r="X9" i="3"/>
  <c r="AI8" i="3"/>
  <c r="AH8" i="3"/>
  <c r="AG8" i="3"/>
  <c r="AF8" i="3"/>
  <c r="AD8" i="3"/>
  <c r="AC8" i="3"/>
  <c r="AB8" i="3"/>
  <c r="Z8" i="3"/>
  <c r="Y8" i="3"/>
  <c r="X8" i="3"/>
  <c r="AI7" i="3"/>
  <c r="AH7" i="3"/>
  <c r="AG7" i="3"/>
  <c r="AF7" i="3"/>
  <c r="AD7" i="3"/>
  <c r="AC7" i="3"/>
  <c r="AB7" i="3"/>
  <c r="Z7" i="3"/>
  <c r="Y7" i="3"/>
  <c r="X7" i="3"/>
  <c r="AI6" i="3"/>
  <c r="AH6" i="3"/>
  <c r="AG6" i="3"/>
  <c r="AF6" i="3"/>
  <c r="AD6" i="3"/>
  <c r="AC6" i="3"/>
  <c r="AB6" i="3"/>
  <c r="Z6" i="3"/>
  <c r="Y6" i="3"/>
  <c r="X6" i="3"/>
  <c r="AI5" i="3"/>
  <c r="AH5" i="3"/>
  <c r="AG5" i="3"/>
  <c r="AF5" i="3"/>
  <c r="AD5" i="3"/>
  <c r="AC5" i="3"/>
  <c r="AB5" i="3"/>
  <c r="Z5" i="3"/>
  <c r="Y5" i="3"/>
  <c r="X5" i="3"/>
  <c r="AI4" i="3"/>
  <c r="AH4" i="3"/>
  <c r="AG4" i="3"/>
  <c r="AF4" i="3"/>
  <c r="AD4" i="3"/>
  <c r="AC4" i="3"/>
  <c r="AB4" i="3"/>
  <c r="Z4" i="3"/>
  <c r="Y4" i="3"/>
  <c r="X4" i="3"/>
  <c r="AI3" i="3"/>
  <c r="AH3" i="3"/>
  <c r="AG3" i="3"/>
  <c r="AF3" i="3"/>
  <c r="AD3" i="3"/>
  <c r="AC3" i="3"/>
  <c r="AB3" i="3"/>
  <c r="Z3" i="3"/>
  <c r="Y3" i="3"/>
  <c r="X3" i="3"/>
  <c r="AI2" i="3"/>
  <c r="AH2" i="3"/>
  <c r="AG2" i="3"/>
  <c r="AF2" i="3"/>
  <c r="AD2" i="3"/>
  <c r="AC2" i="3"/>
  <c r="AB2" i="3"/>
  <c r="Z2" i="3"/>
  <c r="Y2" i="3"/>
  <c r="X2" i="3"/>
  <c r="K9" i="2"/>
  <c r="T25" i="4" l="1"/>
  <c r="T24" i="4"/>
  <c r="S11" i="4"/>
  <c r="S21" i="4"/>
  <c r="S10" i="4"/>
  <c r="S20" i="4"/>
  <c r="S9" i="4"/>
  <c r="S19" i="4"/>
  <c r="S8" i="4"/>
  <c r="S18" i="4"/>
  <c r="S7" i="4"/>
  <c r="S17" i="4"/>
  <c r="S6" i="4"/>
  <c r="S5" i="4"/>
  <c r="S16" i="4"/>
  <c r="S25" i="4"/>
  <c r="S4" i="4"/>
  <c r="S24" i="4"/>
  <c r="S13" i="4"/>
  <c r="S23" i="4"/>
  <c r="S12" i="4"/>
  <c r="S22" i="4"/>
  <c r="L81" i="9"/>
  <c r="L85" i="9"/>
  <c r="L84" i="9"/>
  <c r="F81" i="9"/>
  <c r="G81" i="9" s="1"/>
  <c r="I8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author>
  </authors>
  <commentList>
    <comment ref="D16" authorId="0" shapeId="0" xr:uid="{63F954E3-16E5-4EBF-85A6-186B0DB0E98E}">
      <text>
        <r>
          <rPr>
            <b/>
            <sz val="8"/>
            <color indexed="81"/>
            <rFont val="Tahoma"/>
            <family val="2"/>
          </rPr>
          <t>Christian:</t>
        </r>
        <r>
          <rPr>
            <sz val="8"/>
            <color indexed="81"/>
            <rFont val="Tahoma"/>
            <family val="2"/>
          </rPr>
          <t xml:space="preserve">
Actually UB read 985.254</t>
        </r>
      </text>
    </comment>
  </commentList>
</comments>
</file>

<file path=xl/sharedStrings.xml><?xml version="1.0" encoding="utf-8"?>
<sst xmlns="http://schemas.openxmlformats.org/spreadsheetml/2006/main" count="468" uniqueCount="273">
  <si>
    <t>Worksheet 'pyUBreadings' requires the user to enter all the dial readings and settings of the UB as well as estimates of the uncertainty in temperature and in the temperature coefficients for resistance and inductance. In general it is set up not to apply any temperature corrections, just to evaluate the uncertainty.</t>
  </si>
  <si>
    <t>Use the UniversalBridge3 project to process the input data. This uses the latest ubdict.csv file for corrections to the Universal Bridge. Running 'calculate_imp.py' produces a new 'indResults.xlsx'. Paste these results into the 'pyUBresults' worksheet of this spreadsheet and, if correctly pasted, should immediately produce the report in the'pyReport' worksheet. Note that there are two named blocks in 'pyUBresults' and so the new data should just be pasted over the old data in order to preserve the inductor1 and inductor2 named blocks.</t>
  </si>
  <si>
    <t>You should check that the input data listed in 'pyUBresults' matches the input data in 'pyUBreadings', just in case the wrong file names are enterd in 'calculate_imp.py'.</t>
  </si>
  <si>
    <t>Template for impedances</t>
  </si>
  <si>
    <t>Impedance</t>
  </si>
  <si>
    <t>Muirhead A-517</t>
  </si>
  <si>
    <t>Client</t>
  </si>
  <si>
    <t>Enter, say, 5 ppm as 5e-6</t>
  </si>
  <si>
    <t>Date from</t>
  </si>
  <si>
    <t>Job number</t>
  </si>
  <si>
    <t>1 sigma uncertainties from specifications</t>
  </si>
  <si>
    <t>to</t>
  </si>
  <si>
    <t>S Number</t>
  </si>
  <si>
    <t>S22075</t>
  </si>
  <si>
    <t>Data from lab book</t>
  </si>
  <si>
    <t>check!</t>
  </si>
  <si>
    <t>Data from specifications and other sources</t>
  </si>
  <si>
    <t>Item</t>
  </si>
  <si>
    <t>Nominal Frequency</t>
  </si>
  <si>
    <t>Range</t>
  </si>
  <si>
    <t>xdial</t>
  </si>
  <si>
    <t>rdial</t>
  </si>
  <si>
    <t>Frequency</t>
  </si>
  <si>
    <t>Temperature</t>
  </si>
  <si>
    <t>u</t>
  </si>
  <si>
    <t>df</t>
  </si>
  <si>
    <t>Temp coeff L</t>
  </si>
  <si>
    <t>Temp coeff R</t>
  </si>
  <si>
    <t>Other</t>
  </si>
  <si>
    <t>Hz</t>
  </si>
  <si>
    <r>
      <rPr>
        <sz val="10"/>
        <rFont val="Calibri"/>
        <family val="2"/>
        <charset val="1"/>
      </rPr>
      <t>°</t>
    </r>
    <r>
      <rPr>
        <sz val="10"/>
        <rFont val="Arial"/>
        <family val="2"/>
        <charset val="1"/>
      </rPr>
      <t>C</t>
    </r>
  </si>
  <si>
    <t>L0</t>
  </si>
  <si>
    <t>4Z</t>
  </si>
  <si>
    <t>L1</t>
  </si>
  <si>
    <t>L2</t>
  </si>
  <si>
    <t>L3</t>
  </si>
  <si>
    <t>L4</t>
  </si>
  <si>
    <t>L5</t>
  </si>
  <si>
    <t>L6</t>
  </si>
  <si>
    <t>L7</t>
  </si>
  <si>
    <t>L8</t>
  </si>
  <si>
    <t>L9</t>
  </si>
  <si>
    <t>L10</t>
  </si>
  <si>
    <t>5Z</t>
  </si>
  <si>
    <t>Label</t>
  </si>
  <si>
    <t>xDial</t>
  </si>
  <si>
    <t>rDial</t>
  </si>
  <si>
    <t>frequency</t>
  </si>
  <si>
    <t>temperature</t>
  </si>
  <si>
    <t>utemp</t>
  </si>
  <si>
    <t>dftemp</t>
  </si>
  <si>
    <t>alphax</t>
  </si>
  <si>
    <t>ualphax</t>
  </si>
  <si>
    <t>dfalphax</t>
  </si>
  <si>
    <t>alphar</t>
  </si>
  <si>
    <t>ualphar</t>
  </si>
  <si>
    <t>dfalphr</t>
  </si>
  <si>
    <t>x</t>
  </si>
  <si>
    <t>ux</t>
  </si>
  <si>
    <t>kx</t>
  </si>
  <si>
    <t>r</t>
  </si>
  <si>
    <t>ur</t>
  </si>
  <si>
    <t>kr</t>
  </si>
  <si>
    <t>cmcx</t>
  </si>
  <si>
    <t>cmcr</t>
  </si>
  <si>
    <t>ux/cmcx</t>
  </si>
  <si>
    <t>ur/cmcr</t>
  </si>
  <si>
    <t>label</t>
  </si>
  <si>
    <t>multiplier for R</t>
  </si>
  <si>
    <t>R</t>
  </si>
  <si>
    <t>uR</t>
  </si>
  <si>
    <t>k</t>
  </si>
  <si>
    <t>multiplier for L</t>
  </si>
  <si>
    <t>L</t>
  </si>
  <si>
    <t>uL</t>
  </si>
  <si>
    <t>nom Freq</t>
  </si>
  <si>
    <t>Tap</t>
  </si>
  <si>
    <t>Inductance
Change
(mH)</t>
  </si>
  <si>
    <t>Expanded
Uncertainty
(mH)</t>
  </si>
  <si>
    <t>Coverage
Factor</t>
  </si>
  <si>
    <t>Resistance
Change
(Ω)</t>
  </si>
  <si>
    <t>Expanded
Uncertainty
(Ω)</t>
  </si>
  <si>
    <t>Budget for L8 1591.5</t>
  </si>
  <si>
    <t>ureal(60.08704790830853,0.1713140491986457,20.451673221652594)</t>
  </si>
  <si>
    <t xml:space="preserve">uuttempL8 </t>
  </si>
  <si>
    <t xml:space="preserve">temperature </t>
  </si>
  <si>
    <t xml:space="preserve">Amp_phase_err </t>
  </si>
  <si>
    <t xml:space="preserve">rtempcoL8 </t>
  </si>
  <si>
    <t xml:space="preserve">Adialresureal(62.0,10.0,10.0) </t>
  </si>
  <si>
    <t xml:space="preserve">Adialresureal(600890.0,10.0,10.0) </t>
  </si>
  <si>
    <t xml:space="preserve">Adial_lin62 </t>
  </si>
  <si>
    <t xml:space="preserve">Adial_lin600890 </t>
  </si>
  <si>
    <t xml:space="preserve">Amperr </t>
  </si>
  <si>
    <t xml:space="preserve">R4Aacdc </t>
  </si>
  <si>
    <t xml:space="preserve">G1acdc </t>
  </si>
  <si>
    <t xml:space="preserve">G2acdc </t>
  </si>
  <si>
    <t xml:space="preserve">G1alpha </t>
  </si>
  <si>
    <t xml:space="preserve">G1stab </t>
  </si>
  <si>
    <t xml:space="preserve">R4Aalpha </t>
  </si>
  <si>
    <t xml:space="preserve">G2alpha </t>
  </si>
  <si>
    <t xml:space="preserve">R4Astab </t>
  </si>
  <si>
    <t xml:space="preserve">G2stab </t>
  </si>
  <si>
    <t xml:space="preserve">cal_temp </t>
  </si>
  <si>
    <t xml:space="preserve">G2err </t>
  </si>
  <si>
    <t xml:space="preserve">G1err </t>
  </si>
  <si>
    <t xml:space="preserve">R4Aerr </t>
  </si>
  <si>
    <t xml:space="preserve">uuttempL0 </t>
  </si>
  <si>
    <t xml:space="preserve">rtempcoL0 </t>
  </si>
  <si>
    <t xml:space="preserve">C1err </t>
  </si>
  <si>
    <t xml:space="preserve">C1alpha </t>
  </si>
  <si>
    <t xml:space="preserve">C1stab </t>
  </si>
  <si>
    <t xml:space="preserve">Bdial_lin0 </t>
  </si>
  <si>
    <t xml:space="preserve">Bdialresureal(0.0,1.0,10.0, label='Bdial_lin0') </t>
  </si>
  <si>
    <t xml:space="preserve">Bdial_lin788633 </t>
  </si>
  <si>
    <t xml:space="preserve">Bdialresureal(788633.0,1.0,10.0) </t>
  </si>
  <si>
    <t>ureal(0.0788795386314938,3.031875053076101e-06,27.783955120984952)</t>
  </si>
  <si>
    <t xml:space="preserve">xtempcoL8 </t>
  </si>
  <si>
    <t xml:space="preserve">Bdialres0.0 </t>
  </si>
  <si>
    <t xml:space="preserve">Bdialres788633.0 </t>
  </si>
  <si>
    <t xml:space="preserve">Adialres62.0 </t>
  </si>
  <si>
    <t xml:space="preserve">xtempcoL0 </t>
  </si>
  <si>
    <t xml:space="preserve">Adialres600890.0 </t>
  </si>
  <si>
    <t>RH correction</t>
  </si>
  <si>
    <t>from Y:\Quality\TECHPROC\E058-Lab Air Cond\loggercalibration_2017.xls</t>
  </si>
  <si>
    <t>RH</t>
  </si>
  <si>
    <t>from GMH</t>
  </si>
  <si>
    <t>Temp</t>
  </si>
  <si>
    <t>All GMH5I readings</t>
  </si>
  <si>
    <t>Room</t>
  </si>
  <si>
    <t>delta L /U</t>
  </si>
  <si>
    <t>delta R /U</t>
  </si>
  <si>
    <t>History</t>
  </si>
  <si>
    <t>as ratio</t>
  </si>
  <si>
    <t>Typical U</t>
  </si>
  <si>
    <t>S20803</t>
  </si>
  <si>
    <t>S21193</t>
  </si>
  <si>
    <t>S21431</t>
  </si>
  <si>
    <t>S21637</t>
  </si>
  <si>
    <t>S21784</t>
  </si>
  <si>
    <t>S21960</t>
  </si>
  <si>
    <t>Nominal</t>
  </si>
  <si>
    <t>101.0934</t>
  </si>
  <si>
    <t>101.1144</t>
  </si>
  <si>
    <t>0.0070</t>
  </si>
  <si>
    <t>88.9860</t>
  </si>
  <si>
    <t>89.0063</t>
  </si>
  <si>
    <t>0.0065</t>
  </si>
  <si>
    <t>78.8826</t>
  </si>
  <si>
    <t>78.9009</t>
  </si>
  <si>
    <t>0.0059</t>
  </si>
  <si>
    <t>68.9465</t>
  </si>
  <si>
    <t>68.9631</t>
  </si>
  <si>
    <t>0.0052</t>
  </si>
  <si>
    <t>59.1017</t>
  </si>
  <si>
    <t>59.1163</t>
  </si>
  <si>
    <t>0.0045</t>
  </si>
  <si>
    <t>49.0579</t>
  </si>
  <si>
    <t>49.0702</t>
  </si>
  <si>
    <t>0.0038</t>
  </si>
  <si>
    <t>39.3546</t>
  </si>
  <si>
    <t>39.3650</t>
  </si>
  <si>
    <t>0.0031</t>
  </si>
  <si>
    <t>29.2715</t>
  </si>
  <si>
    <t>29.2794</t>
  </si>
  <si>
    <t>0.0023</t>
  </si>
  <si>
    <t>19.9931</t>
  </si>
  <si>
    <t>19.9988</t>
  </si>
  <si>
    <t>0.0016</t>
  </si>
  <si>
    <t>10.1520</t>
  </si>
  <si>
    <t>10.1550</t>
  </si>
  <si>
    <t>0.0009</t>
  </si>
  <si>
    <t>984.939</t>
  </si>
  <si>
    <t>985.244</t>
  </si>
  <si>
    <t>0.069</t>
  </si>
  <si>
    <t>878.232</t>
  </si>
  <si>
    <t>878.380</t>
  </si>
  <si>
    <t>0.060</t>
  </si>
  <si>
    <t>783.086</t>
  </si>
  <si>
    <t>783.228</t>
  </si>
  <si>
    <t>0.053</t>
  </si>
  <si>
    <t>689.813</t>
  </si>
  <si>
    <t>689.929</t>
  </si>
  <si>
    <t>0.047</t>
  </si>
  <si>
    <t>592.360</t>
  </si>
  <si>
    <t>592.471</t>
  </si>
  <si>
    <t>0.040</t>
  </si>
  <si>
    <t>494.710</t>
  </si>
  <si>
    <t>494.803</t>
  </si>
  <si>
    <t>0.034</t>
  </si>
  <si>
    <t>398.931</t>
  </si>
  <si>
    <t>399.008</t>
  </si>
  <si>
    <t>0.027</t>
  </si>
  <si>
    <t>304.305</t>
  </si>
  <si>
    <t>304.371</t>
  </si>
  <si>
    <t>0.021</t>
  </si>
  <si>
    <t>207.691</t>
  </si>
  <si>
    <t>207.733</t>
  </si>
  <si>
    <t>0.014</t>
  </si>
  <si>
    <t>103.900</t>
  </si>
  <si>
    <t>103.923</t>
  </si>
  <si>
    <t>0.008</t>
  </si>
  <si>
    <t>On 3 December 2019 the effect of twisted lead vs coaxial connection were investigated.</t>
  </si>
  <si>
    <t>Measurements in AI VIII</t>
  </si>
  <si>
    <t>LCR</t>
  </si>
  <si>
    <t>Twisted lead variability</t>
  </si>
  <si>
    <t>normal</t>
  </si>
  <si>
    <t>below</t>
  </si>
  <si>
    <t>horizontal</t>
  </si>
  <si>
    <t>above</t>
  </si>
  <si>
    <t>change twist</t>
  </si>
  <si>
    <t>low/high twist ratio</t>
  </si>
  <si>
    <t>normal/position ratio</t>
  </si>
  <si>
    <t>Above data suggests that dependence of angle of lead entry is 40 ppm</t>
  </si>
  <si>
    <t>ppm</t>
  </si>
  <si>
    <t>Change in twist has a much larger 500 ppm shift!</t>
  </si>
  <si>
    <t>UB</t>
  </si>
  <si>
    <t>twisted</t>
  </si>
  <si>
    <t>coax</t>
  </si>
  <si>
    <t>twisted/coax</t>
  </si>
  <si>
    <t>coax reading is higher</t>
  </si>
  <si>
    <t>Note that the zero dial setting was not included in the checks.</t>
  </si>
  <si>
    <t>Coax connection</t>
  </si>
  <si>
    <t>horizontal/postion</t>
  </si>
  <si>
    <t>The coax connection is not sensitive to lead position.</t>
  </si>
  <si>
    <t>The coax connection gives a higher inductance!</t>
  </si>
  <si>
    <t>twisted horizontal/coax</t>
  </si>
  <si>
    <t>The very large change seen here might have been caused by some other change?</t>
  </si>
  <si>
    <t>On 4 December 2019 Minyu did comparison of twisted vs coax using the UB</t>
  </si>
  <si>
    <t>Raw dial readings</t>
  </si>
  <si>
    <t>Twisted</t>
  </si>
  <si>
    <t>This pattern of difference might be modelled as a mutual inductance per section.</t>
  </si>
  <si>
    <t>Coax</t>
  </si>
  <si>
    <t>coax/twisted</t>
  </si>
  <si>
    <t>coax-twisted</t>
  </si>
  <si>
    <t>Why does the ppm difference scale with dial setting rather than being constant?</t>
  </si>
  <si>
    <t>Note that coil inductance is proportional to the square of the number of turns</t>
  </si>
  <si>
    <t>Inductance</t>
  </si>
  <si>
    <t>turns max</t>
  </si>
  <si>
    <t>N</t>
  </si>
  <si>
    <t>delta at max turns</t>
  </si>
  <si>
    <t>In essence fewer turns are needed for the final step than for the first step.</t>
  </si>
  <si>
    <t>This would suggest that M had proportionally more impact on the lower values.</t>
  </si>
  <si>
    <t>effective fractional turn of lead</t>
  </si>
  <si>
    <t>N+</t>
  </si>
  <si>
    <t>total L</t>
  </si>
  <si>
    <t>measured</t>
  </si>
  <si>
    <t>calculated</t>
  </si>
  <si>
    <t>calc-meas</t>
  </si>
  <si>
    <t>power</t>
  </si>
  <si>
    <t>(N+)^2</t>
  </si>
  <si>
    <t>N^2</t>
  </si>
  <si>
    <t>ratio</t>
  </si>
  <si>
    <t>plot against turns rather than inductance</t>
  </si>
  <si>
    <t>Now understand capacitance to be the main cause of change when using the coax cable.</t>
  </si>
  <si>
    <t>Short coax</t>
  </si>
  <si>
    <t>C</t>
  </si>
  <si>
    <t>G</t>
  </si>
  <si>
    <t>twisted leads</t>
  </si>
  <si>
    <t>LCR zero</t>
  </si>
  <si>
    <t>Readings</t>
  </si>
  <si>
    <t>Zero correcte</t>
  </si>
  <si>
    <t>short coax</t>
  </si>
  <si>
    <t>cap induced L change</t>
  </si>
  <si>
    <t>For 1 H unit assuming nominal L and 600 ohm</t>
  </si>
  <si>
    <t>calc</t>
  </si>
  <si>
    <t>error / %</t>
  </si>
  <si>
    <t>Prepare for full recalculation of the 2019 measurement</t>
  </si>
  <si>
    <t>dislexic swap?</t>
  </si>
  <si>
    <t>For python processing</t>
  </si>
  <si>
    <t>2025 Coax</t>
  </si>
  <si>
    <t>2020 S22075 Coax!</t>
  </si>
  <si>
    <t>corrected for capacitance</t>
  </si>
  <si>
    <t>twist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</si>
</sst>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E+00"/>
    <numFmt numFmtId="165" formatCode="0.00000E+00"/>
    <numFmt numFmtId="166" formatCode="0.0"/>
    <numFmt numFmtId="167" formatCode="0.000000"/>
    <numFmt numFmtId="168" formatCode="0.00000"/>
    <numFmt numFmtId="169" formatCode="0.000"/>
    <numFmt numFmtId="170" formatCode="0.0000&quot;     &quot;"/>
    <numFmt numFmtId="171" formatCode="0.00&quot;      &quot;"/>
    <numFmt numFmtId="172" formatCode="0.000&quot;     &quot;"/>
    <numFmt numFmtId="173" formatCode="0.0&quot;      &quot;"/>
    <numFmt numFmtId="174" formatCode="0.0000\ \ \ \ \ "/>
    <numFmt numFmtId="175" formatCode="0.00\ \ \ \ \ \ "/>
    <numFmt numFmtId="176" formatCode="0.000\ \ \ \ \ "/>
    <numFmt numFmtId="177" formatCode="0.0\ \ \ \ \ \ "/>
    <numFmt numFmtId="178" formatCode="0.000E+00"/>
    <numFmt numFmtId="179" formatCode="0.0000%"/>
    <numFmt numFmtId="180" formatCode="0.000%"/>
  </numFmts>
  <fonts count="13" x14ac:knownFonts="1">
    <font>
      <sz val="10"/>
      <name val="Arial"/>
      <charset val="1"/>
    </font>
    <font>
      <b/>
      <sz val="10"/>
      <name val="Arial"/>
      <family val="2"/>
      <charset val="1"/>
    </font>
    <font>
      <sz val="10"/>
      <name val="Arial"/>
      <family val="2"/>
      <charset val="1"/>
    </font>
    <font>
      <b/>
      <sz val="12"/>
      <name val="Arial"/>
      <family val="2"/>
      <charset val="1"/>
    </font>
    <font>
      <i/>
      <sz val="10"/>
      <name val="Arial"/>
      <family val="2"/>
      <charset val="1"/>
    </font>
    <font>
      <sz val="10"/>
      <name val="Calibri"/>
      <family val="2"/>
      <charset val="1"/>
    </font>
    <font>
      <sz val="10"/>
      <name val="Times New Roman"/>
      <family val="1"/>
      <charset val="1"/>
    </font>
    <font>
      <sz val="10"/>
      <name val="Times New Roman"/>
      <family val="1"/>
    </font>
    <font>
      <b/>
      <sz val="10"/>
      <name val="Arial"/>
      <family val="2"/>
    </font>
    <font>
      <sz val="10"/>
      <name val="Arial"/>
      <family val="2"/>
    </font>
    <font>
      <b/>
      <sz val="8"/>
      <color indexed="81"/>
      <name val="Tahoma"/>
      <family val="2"/>
    </font>
    <font>
      <sz val="8"/>
      <color indexed="81"/>
      <name val="Tahoma"/>
      <family val="2"/>
    </font>
    <font>
      <sz val="10"/>
      <name val="Arial"/>
      <charset val="1"/>
    </font>
  </fonts>
  <fills count="16">
    <fill>
      <patternFill patternType="none"/>
    </fill>
    <fill>
      <patternFill patternType="gray125"/>
    </fill>
    <fill>
      <patternFill patternType="solid">
        <fgColor rgb="FF00FF00"/>
        <bgColor rgb="FF00FFFF"/>
      </patternFill>
    </fill>
    <fill>
      <patternFill patternType="solid">
        <fgColor rgb="FF69FFFF"/>
        <bgColor rgb="FFB7DEE8"/>
      </patternFill>
    </fill>
    <fill>
      <patternFill patternType="solid">
        <fgColor rgb="FF00CCFF"/>
        <bgColor rgb="FF00FFFF"/>
      </patternFill>
    </fill>
    <fill>
      <patternFill patternType="solid">
        <fgColor rgb="FFFF8080"/>
        <bgColor rgb="FFFF99CC"/>
      </patternFill>
    </fill>
    <fill>
      <patternFill patternType="solid">
        <fgColor rgb="FFC0C0C0"/>
        <bgColor rgb="FFB9CDE5"/>
      </patternFill>
    </fill>
    <fill>
      <patternFill patternType="solid">
        <fgColor theme="0" tint="-0.14999847407452621"/>
        <bgColor rgb="FFB7DEE8"/>
      </patternFill>
    </fill>
    <fill>
      <patternFill patternType="solid">
        <fgColor theme="4" tint="0.59987182226020086"/>
        <bgColor rgb="FFB7DEE8"/>
      </patternFill>
    </fill>
    <fill>
      <patternFill patternType="solid">
        <fgColor theme="9" tint="0.59987182226020086"/>
        <bgColor rgb="FFD9D9D9"/>
      </patternFill>
    </fill>
    <fill>
      <patternFill patternType="solid">
        <fgColor theme="8" tint="0.59987182226020086"/>
        <bgColor rgb="FFB9CDE5"/>
      </patternFill>
    </fill>
    <fill>
      <patternFill patternType="solid">
        <fgColor rgb="FFFFFF00"/>
        <bgColor rgb="FFFFFF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6" tint="0.39997558519241921"/>
        <bgColor indexed="64"/>
      </patternFill>
    </fill>
  </fills>
  <borders count="7">
    <border>
      <left/>
      <right/>
      <top/>
      <bottom/>
      <diagonal/>
    </border>
    <border>
      <left style="double">
        <color auto="1"/>
      </left>
      <right style="double">
        <color auto="1"/>
      </right>
      <top style="double">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double">
        <color auto="1"/>
      </left>
      <right style="double">
        <color auto="1"/>
      </right>
      <top/>
      <bottom/>
      <diagonal/>
    </border>
    <border>
      <left style="double">
        <color auto="1"/>
      </left>
      <right style="double">
        <color auto="1"/>
      </right>
      <top style="thin">
        <color auto="1"/>
      </top>
      <bottom/>
      <diagonal/>
    </border>
    <border>
      <left/>
      <right/>
      <top/>
      <bottom style="thin">
        <color auto="1"/>
      </bottom>
      <diagonal/>
    </border>
  </borders>
  <cellStyleXfs count="2">
    <xf numFmtId="0" fontId="0" fillId="0" borderId="0"/>
    <xf numFmtId="9" fontId="12" fillId="0" borderId="0" applyFont="0" applyFill="0" applyBorder="0" applyAlignment="0" applyProtection="0"/>
  </cellStyleXfs>
  <cellXfs count="92">
    <xf numFmtId="0" fontId="0" fillId="0" borderId="0" xfId="0"/>
    <xf numFmtId="14" fontId="1" fillId="0" borderId="0" xfId="0" applyNumberFormat="1" applyFont="1" applyAlignment="1">
      <alignment horizontal="left"/>
    </xf>
    <xf numFmtId="0" fontId="2" fillId="0" borderId="0" xfId="0" applyFont="1" applyAlignment="1">
      <alignment wrapText="1"/>
    </xf>
    <xf numFmtId="0" fontId="2" fillId="0" borderId="0" xfId="0" applyFont="1"/>
    <xf numFmtId="0" fontId="3" fillId="0" borderId="0" xfId="0" applyFont="1" applyAlignment="1">
      <alignment horizontal="left"/>
    </xf>
    <xf numFmtId="0" fontId="4" fillId="0" borderId="0" xfId="0" applyFont="1" applyAlignment="1">
      <alignment horizontal="center"/>
    </xf>
    <xf numFmtId="0" fontId="4" fillId="0" borderId="0" xfId="0" applyFont="1"/>
    <xf numFmtId="0" fontId="2" fillId="2" borderId="0" xfId="0" applyFont="1" applyFill="1" applyAlignment="1">
      <alignment horizontal="right"/>
    </xf>
    <xf numFmtId="0" fontId="2" fillId="3" borderId="0" xfId="0" applyFont="1" applyFill="1"/>
    <xf numFmtId="0" fontId="0" fillId="3" borderId="0" xfId="0" applyFill="1"/>
    <xf numFmtId="0" fontId="0" fillId="2" borderId="0" xfId="0" applyFill="1"/>
    <xf numFmtId="15" fontId="2" fillId="3" borderId="0" xfId="0" applyNumberFormat="1" applyFont="1" applyFill="1" applyAlignment="1">
      <alignment horizontal="left"/>
    </xf>
    <xf numFmtId="0" fontId="0" fillId="3" borderId="0" xfId="0" applyFill="1" applyAlignment="1">
      <alignment horizontal="left"/>
    </xf>
    <xf numFmtId="14" fontId="1" fillId="0" borderId="0" xfId="0" applyNumberFormat="1" applyFont="1" applyAlignment="1">
      <alignment horizontal="center"/>
    </xf>
    <xf numFmtId="14" fontId="0" fillId="0" borderId="0" xfId="0" applyNumberFormat="1"/>
    <xf numFmtId="0" fontId="2" fillId="4" borderId="1" xfId="0" applyFont="1" applyFill="1" applyBorder="1" applyAlignment="1">
      <alignment horizontal="center"/>
    </xf>
    <xf numFmtId="0" fontId="2" fillId="2" borderId="2" xfId="0" applyFont="1" applyFill="1" applyBorder="1" applyAlignment="1">
      <alignment horizontal="center"/>
    </xf>
    <xf numFmtId="0" fontId="0" fillId="5" borderId="2" xfId="0" applyFill="1" applyBorder="1" applyAlignment="1">
      <alignment horizontal="center"/>
    </xf>
    <xf numFmtId="0" fontId="0" fillId="6" borderId="2" xfId="0" applyFill="1" applyBorder="1" applyProtection="1">
      <protection locked="0"/>
    </xf>
    <xf numFmtId="0" fontId="0" fillId="6" borderId="2" xfId="0" applyFill="1" applyBorder="1"/>
    <xf numFmtId="0" fontId="0" fillId="7" borderId="3" xfId="0" applyFill="1" applyBorder="1"/>
    <xf numFmtId="0" fontId="2" fillId="7" borderId="2" xfId="0" applyFont="1" applyFill="1" applyBorder="1"/>
    <xf numFmtId="0" fontId="2" fillId="8" borderId="2" xfId="0" applyFont="1" applyFill="1" applyBorder="1"/>
    <xf numFmtId="0" fontId="2" fillId="9" borderId="2" xfId="0" applyFont="1" applyFill="1" applyBorder="1"/>
    <xf numFmtId="0" fontId="2" fillId="10" borderId="2" xfId="0" applyFont="1" applyFill="1" applyBorder="1"/>
    <xf numFmtId="0" fontId="0" fillId="4" borderId="4" xfId="0" applyFill="1" applyBorder="1" applyAlignment="1">
      <alignment horizontal="center"/>
    </xf>
    <xf numFmtId="0" fontId="0" fillId="2" borderId="2" xfId="0" applyFill="1" applyBorder="1" applyAlignment="1">
      <alignment horizontal="center"/>
    </xf>
    <xf numFmtId="164" fontId="2" fillId="6" borderId="2" xfId="0" applyNumberFormat="1" applyFont="1" applyFill="1" applyBorder="1" applyAlignment="1">
      <alignment horizontal="center"/>
    </xf>
    <xf numFmtId="0" fontId="5" fillId="6" borderId="3" xfId="0" applyFont="1" applyFill="1" applyBorder="1" applyAlignment="1">
      <alignment horizontal="center"/>
    </xf>
    <xf numFmtId="0" fontId="0" fillId="8" borderId="2" xfId="0" applyFill="1" applyBorder="1"/>
    <xf numFmtId="0" fontId="0" fillId="9" borderId="2" xfId="0" applyFill="1" applyBorder="1"/>
    <xf numFmtId="0" fontId="0" fillId="10" borderId="2" xfId="0" applyFill="1" applyBorder="1"/>
    <xf numFmtId="0" fontId="2" fillId="4" borderId="5" xfId="0" applyFont="1" applyFill="1" applyBorder="1" applyAlignment="1">
      <alignment horizontal="center"/>
    </xf>
    <xf numFmtId="0" fontId="2" fillId="5" borderId="2" xfId="0" applyFont="1" applyFill="1" applyBorder="1" applyAlignment="1">
      <alignment horizontal="center"/>
    </xf>
    <xf numFmtId="0" fontId="0" fillId="6" borderId="2" xfId="0" applyFill="1" applyBorder="1" applyAlignment="1" applyProtection="1">
      <alignment horizontal="center"/>
      <protection locked="0"/>
    </xf>
    <xf numFmtId="165" fontId="0" fillId="6" borderId="2" xfId="0" applyNumberFormat="1" applyFill="1" applyBorder="1" applyProtection="1">
      <protection locked="0"/>
    </xf>
    <xf numFmtId="0" fontId="0" fillId="6" borderId="3" xfId="0" applyFill="1" applyBorder="1"/>
    <xf numFmtId="0" fontId="0" fillId="7" borderId="2" xfId="0" applyFill="1" applyBorder="1"/>
    <xf numFmtId="11" fontId="0" fillId="8" borderId="2" xfId="0" applyNumberFormat="1" applyFill="1" applyBorder="1"/>
    <xf numFmtId="1" fontId="0" fillId="8" borderId="2" xfId="0" applyNumberFormat="1" applyFill="1" applyBorder="1" applyAlignment="1">
      <alignment horizontal="center"/>
    </xf>
    <xf numFmtId="11" fontId="0" fillId="9" borderId="2" xfId="0" applyNumberFormat="1" applyFill="1" applyBorder="1"/>
    <xf numFmtId="1" fontId="0" fillId="9" borderId="2" xfId="0" applyNumberFormat="1" applyFill="1" applyBorder="1" applyAlignment="1">
      <alignment horizontal="center"/>
    </xf>
    <xf numFmtId="1" fontId="0" fillId="10" borderId="2" xfId="0" applyNumberFormat="1" applyFill="1" applyBorder="1" applyAlignment="1">
      <alignment horizontal="center"/>
    </xf>
    <xf numFmtId="11" fontId="0" fillId="10" borderId="2" xfId="0" applyNumberFormat="1" applyFill="1" applyBorder="1"/>
    <xf numFmtId="0" fontId="2" fillId="6" borderId="2" xfId="0" applyFont="1" applyFill="1" applyBorder="1" applyAlignment="1" applyProtection="1">
      <alignment horizontal="center"/>
      <protection locked="0"/>
    </xf>
    <xf numFmtId="166" fontId="0" fillId="0" borderId="0" xfId="0" applyNumberFormat="1"/>
    <xf numFmtId="11" fontId="0" fillId="0" borderId="0" xfId="0" applyNumberFormat="1"/>
    <xf numFmtId="167" fontId="0" fillId="0" borderId="0" xfId="0" applyNumberFormat="1"/>
    <xf numFmtId="168" fontId="0" fillId="0" borderId="0" xfId="0" applyNumberFormat="1"/>
    <xf numFmtId="169" fontId="0" fillId="0" borderId="0" xfId="0" applyNumberFormat="1"/>
    <xf numFmtId="0" fontId="6" fillId="0" borderId="6" xfId="0" applyFont="1" applyBorder="1" applyAlignment="1">
      <alignment horizontal="center" vertical="top" wrapText="1"/>
    </xf>
    <xf numFmtId="0" fontId="6" fillId="0" borderId="0" xfId="0" applyFont="1" applyAlignment="1">
      <alignment horizontal="center"/>
    </xf>
    <xf numFmtId="170" fontId="6" fillId="0" borderId="0" xfId="0" applyNumberFormat="1" applyFont="1" applyAlignment="1">
      <alignment horizontal="right"/>
    </xf>
    <xf numFmtId="166"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73" fontId="6" fillId="0" borderId="0" xfId="0" applyNumberFormat="1" applyFont="1" applyAlignment="1">
      <alignment horizontal="right"/>
    </xf>
    <xf numFmtId="22" fontId="0" fillId="0" borderId="0" xfId="0" applyNumberFormat="1"/>
    <xf numFmtId="2" fontId="0" fillId="11" borderId="0" xfId="0" applyNumberFormat="1" applyFill="1"/>
    <xf numFmtId="0" fontId="0" fillId="11" borderId="0" xfId="0" applyFill="1"/>
    <xf numFmtId="2" fontId="0" fillId="0" borderId="0" xfId="0" applyNumberFormat="1"/>
    <xf numFmtId="0" fontId="1" fillId="0" borderId="0" xfId="0" applyFont="1"/>
    <xf numFmtId="2" fontId="1" fillId="0" borderId="0" xfId="0" applyNumberFormat="1" applyFont="1"/>
    <xf numFmtId="0" fontId="7" fillId="0" borderId="6" xfId="0" applyFont="1" applyBorder="1" applyAlignment="1">
      <alignment horizontal="center" vertical="top" wrapText="1"/>
    </xf>
    <xf numFmtId="0" fontId="7" fillId="0" borderId="0" xfId="0" applyFont="1" applyAlignment="1">
      <alignment horizontal="center"/>
    </xf>
    <xf numFmtId="174" fontId="7" fillId="0" borderId="0" xfId="0" applyNumberFormat="1" applyFont="1" applyAlignment="1">
      <alignment horizontal="right"/>
    </xf>
    <xf numFmtId="166" fontId="7" fillId="0" borderId="0" xfId="0" applyNumberFormat="1" applyFont="1" applyAlignment="1">
      <alignment horizontal="center"/>
    </xf>
    <xf numFmtId="175" fontId="7" fillId="0" borderId="0" xfId="0" applyNumberFormat="1" applyFont="1" applyAlignment="1">
      <alignment horizontal="right"/>
    </xf>
    <xf numFmtId="176" fontId="7" fillId="0" borderId="0" xfId="0" applyNumberFormat="1" applyFont="1" applyAlignment="1">
      <alignment horizontal="right"/>
    </xf>
    <xf numFmtId="177" fontId="7" fillId="0" borderId="0" xfId="0" applyNumberFormat="1" applyFont="1" applyAlignment="1">
      <alignment horizontal="right"/>
    </xf>
    <xf numFmtId="0" fontId="7" fillId="0" borderId="0" xfId="0" applyFont="1" applyAlignment="1">
      <alignment horizontal="center" vertical="top" wrapText="1"/>
    </xf>
    <xf numFmtId="0" fontId="8" fillId="0" borderId="0" xfId="0" applyFont="1"/>
    <xf numFmtId="0" fontId="9" fillId="0" borderId="0" xfId="0" applyFont="1"/>
    <xf numFmtId="0" fontId="0" fillId="0" borderId="0" xfId="0" applyAlignment="1">
      <alignment horizontal="right"/>
    </xf>
    <xf numFmtId="0" fontId="0" fillId="12" borderId="0" xfId="0" applyFill="1"/>
    <xf numFmtId="0" fontId="0" fillId="12" borderId="0" xfId="0" applyFill="1" applyAlignment="1">
      <alignment horizontal="center"/>
    </xf>
    <xf numFmtId="169" fontId="0" fillId="12" borderId="0" xfId="0" applyNumberFormat="1" applyFill="1" applyAlignment="1">
      <alignment horizontal="right"/>
    </xf>
    <xf numFmtId="169" fontId="0" fillId="12" borderId="0" xfId="0" applyNumberFormat="1" applyFill="1"/>
    <xf numFmtId="0" fontId="0" fillId="12" borderId="0" xfId="0" applyFill="1" applyAlignment="1">
      <alignment horizontal="right"/>
    </xf>
    <xf numFmtId="0" fontId="0" fillId="13" borderId="0" xfId="0" applyFill="1"/>
    <xf numFmtId="0" fontId="0" fillId="13" borderId="0" xfId="0" applyFill="1" applyAlignment="1">
      <alignment horizontal="center"/>
    </xf>
    <xf numFmtId="169" fontId="0" fillId="13" borderId="0" xfId="0" applyNumberFormat="1" applyFill="1" applyAlignment="1">
      <alignment horizontal="right"/>
    </xf>
    <xf numFmtId="169" fontId="0" fillId="13" borderId="0" xfId="0" applyNumberFormat="1" applyFill="1"/>
    <xf numFmtId="0" fontId="0" fillId="13" borderId="0" xfId="0" applyFill="1" applyAlignment="1">
      <alignment horizontal="right"/>
    </xf>
    <xf numFmtId="1" fontId="0" fillId="0" borderId="0" xfId="0" applyNumberFormat="1"/>
    <xf numFmtId="178" fontId="0" fillId="0" borderId="0" xfId="0" applyNumberFormat="1"/>
    <xf numFmtId="0" fontId="0" fillId="0" borderId="0" xfId="0" applyAlignment="1">
      <alignment horizontal="center" vertical="center"/>
    </xf>
    <xf numFmtId="179" fontId="0" fillId="0" borderId="0" xfId="1" applyNumberFormat="1" applyFont="1"/>
    <xf numFmtId="0" fontId="0" fillId="14" borderId="0" xfId="0" applyFill="1" applyAlignment="1">
      <alignment horizontal="center" vertical="center"/>
    </xf>
    <xf numFmtId="180" fontId="0" fillId="0" borderId="0" xfId="1" applyNumberFormat="1" applyFont="1"/>
    <xf numFmtId="0" fontId="0" fillId="15" borderId="0" xfId="0" applyFill="1" applyAlignment="1">
      <alignment horizontal="right"/>
    </xf>
    <xf numFmtId="0" fontId="0" fillId="15" borderId="0" xfId="0" applyFill="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9D9D9"/>
      <rgbColor rgb="FFFFFF99"/>
      <rgbColor rgb="FFB7DEE8"/>
      <rgbColor rgb="FFFF99CC"/>
      <rgbColor rgb="FFCC99FF"/>
      <rgbColor rgb="FFFCD5B5"/>
      <rgbColor rgb="FF3366FF"/>
      <rgbColor rgb="FF69FFFF"/>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're2019'!$C$10:$C$19</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're2019'!$H$10:$H$19</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BC55-4DC1-AB41-CD3687D391F8}"/>
            </c:ext>
          </c:extLst>
        </c:ser>
        <c:dLbls>
          <c:showLegendKey val="0"/>
          <c:showVal val="0"/>
          <c:showCatName val="0"/>
          <c:showSerName val="0"/>
          <c:showPercent val="0"/>
          <c:showBubbleSize val="0"/>
        </c:dLbls>
        <c:axId val="1292510512"/>
        <c:axId val="1292511472"/>
      </c:scatterChart>
      <c:valAx>
        <c:axId val="1292510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1472"/>
        <c:crosses val="autoZero"/>
        <c:crossBetween val="midCat"/>
      </c:valAx>
      <c:valAx>
        <c:axId val="129251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105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're2019'!$C$37:$C$46</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're2019'!$H$37:$H$46</c:f>
              <c:numCache>
                <c:formatCode>General</c:formatCode>
                <c:ptCount val="10"/>
                <c:pt idx="0">
                  <c:v>277</c:v>
                </c:pt>
                <c:pt idx="1">
                  <c:v>212</c:v>
                </c:pt>
                <c:pt idx="2">
                  <c:v>166</c:v>
                </c:pt>
                <c:pt idx="3">
                  <c:v>126</c:v>
                </c:pt>
                <c:pt idx="4">
                  <c:v>89</c:v>
                </c:pt>
                <c:pt idx="5">
                  <c:v>58</c:v>
                </c:pt>
                <c:pt idx="6">
                  <c:v>38</c:v>
                </c:pt>
                <c:pt idx="7">
                  <c:v>17</c:v>
                </c:pt>
                <c:pt idx="8">
                  <c:v>6</c:v>
                </c:pt>
                <c:pt idx="9">
                  <c:v>1</c:v>
                </c:pt>
              </c:numCache>
            </c:numRef>
          </c:yVal>
          <c:smooth val="0"/>
          <c:extLst>
            <c:ext xmlns:c16="http://schemas.microsoft.com/office/drawing/2014/chart" uri="{C3380CC4-5D6E-409C-BE32-E72D297353CC}">
              <c16:uniqueId val="{00000000-1AF1-4621-BE8F-E197B973EA1E}"/>
            </c:ext>
          </c:extLst>
        </c:ser>
        <c:dLbls>
          <c:showLegendKey val="0"/>
          <c:showVal val="0"/>
          <c:showCatName val="0"/>
          <c:showSerName val="0"/>
          <c:showPercent val="0"/>
          <c:showBubbleSize val="0"/>
        </c:dLbls>
        <c:axId val="403657584"/>
        <c:axId val="403654224"/>
      </c:scatterChart>
      <c:valAx>
        <c:axId val="40365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4224"/>
        <c:crosses val="autoZero"/>
        <c:crossBetween val="midCat"/>
      </c:valAx>
      <c:valAx>
        <c:axId val="4036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575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6ED3-4E93-B610-AB455A60671B}"/>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6ED3-4E93-B610-AB455A60671B}"/>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6ED3-4E93-B610-AB455A60671B}"/>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Power Law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coax_v_twist!$I$45</c:f>
              <c:strCache>
                <c:ptCount val="1"/>
                <c:pt idx="0">
                  <c:v>coax-twisted</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coax_v_twist!$I$46:$I$55</c:f>
              <c:numCache>
                <c:formatCode>General</c:formatCode>
                <c:ptCount val="10"/>
                <c:pt idx="0">
                  <c:v>2660</c:v>
                </c:pt>
                <c:pt idx="1">
                  <c:v>2112</c:v>
                </c:pt>
                <c:pt idx="2">
                  <c:v>1678</c:v>
                </c:pt>
                <c:pt idx="3">
                  <c:v>1296</c:v>
                </c:pt>
                <c:pt idx="4">
                  <c:v>969</c:v>
                </c:pt>
                <c:pt idx="5">
                  <c:v>672</c:v>
                </c:pt>
                <c:pt idx="6">
                  <c:v>439</c:v>
                </c:pt>
                <c:pt idx="7">
                  <c:v>251</c:v>
                </c:pt>
                <c:pt idx="8">
                  <c:v>116</c:v>
                </c:pt>
                <c:pt idx="9">
                  <c:v>28</c:v>
                </c:pt>
              </c:numCache>
            </c:numRef>
          </c:yVal>
          <c:smooth val="0"/>
          <c:extLst>
            <c:ext xmlns:c16="http://schemas.microsoft.com/office/drawing/2014/chart" uri="{C3380CC4-5D6E-409C-BE32-E72D297353CC}">
              <c16:uniqueId val="{00000000-6CFC-46BA-96FF-26385B616330}"/>
            </c:ext>
          </c:extLst>
        </c:ser>
        <c:dLbls>
          <c:showLegendKey val="0"/>
          <c:showVal val="0"/>
          <c:showCatName val="0"/>
          <c:showSerName val="0"/>
          <c:showPercent val="0"/>
          <c:showBubbleSize val="0"/>
        </c:dLbls>
        <c:axId val="267248672"/>
        <c:axId val="267249152"/>
      </c:scatterChart>
      <c:scatterChart>
        <c:scatterStyle val="lineMarker"/>
        <c:varyColors val="0"/>
        <c:ser>
          <c:idx val="1"/>
          <c:order val="1"/>
          <c:tx>
            <c:strRef>
              <c:f>coax_v_twist!$L$45</c:f>
              <c:strCache>
                <c:ptCount val="1"/>
                <c:pt idx="0">
                  <c:v>calc-meas</c:v>
                </c:pt>
              </c:strCache>
            </c:strRef>
          </c:tx>
          <c:spPr>
            <a:ln w="25400" cap="rnd">
              <a:noFill/>
              <a:round/>
            </a:ln>
            <a:effectLst/>
          </c:spPr>
          <c:marker>
            <c:symbol val="circle"/>
            <c:size val="5"/>
            <c:spPr>
              <a:solidFill>
                <a:schemeClr val="accent2"/>
              </a:solidFill>
              <a:ln w="9525">
                <a:solidFill>
                  <a:schemeClr val="accent2"/>
                </a:solidFill>
              </a:ln>
              <a:effectLst/>
            </c:spPr>
          </c:marker>
          <c:xVal>
            <c:numRef>
              <c:f>coax_v_twist!$A$46:$A$55</c:f>
              <c:numCache>
                <c:formatCode>General</c:formatCode>
                <c:ptCount val="10"/>
                <c:pt idx="0">
                  <c:v>10</c:v>
                </c:pt>
                <c:pt idx="1">
                  <c:v>9</c:v>
                </c:pt>
                <c:pt idx="2">
                  <c:v>8</c:v>
                </c:pt>
                <c:pt idx="3">
                  <c:v>7</c:v>
                </c:pt>
                <c:pt idx="4">
                  <c:v>6</c:v>
                </c:pt>
                <c:pt idx="5">
                  <c:v>5</c:v>
                </c:pt>
                <c:pt idx="6">
                  <c:v>4</c:v>
                </c:pt>
                <c:pt idx="7">
                  <c:v>3</c:v>
                </c:pt>
                <c:pt idx="8">
                  <c:v>2</c:v>
                </c:pt>
                <c:pt idx="9">
                  <c:v>1</c:v>
                </c:pt>
              </c:numCache>
            </c:numRef>
          </c:xVal>
          <c:yVal>
            <c:numRef>
              <c:f>coax_v_twist!$L$46:$L$55</c:f>
              <c:numCache>
                <c:formatCode>0.00</c:formatCode>
                <c:ptCount val="10"/>
                <c:pt idx="0">
                  <c:v>-100.36518099553268</c:v>
                </c:pt>
                <c:pt idx="1">
                  <c:v>-30.02732731694141</c:v>
                </c:pt>
                <c:pt idx="2">
                  <c:v>-25.293938994647306</c:v>
                </c:pt>
                <c:pt idx="3">
                  <c:v>-23.938211767963367</c:v>
                </c:pt>
                <c:pt idx="4">
                  <c:v>-28.701549276461606</c:v>
                </c:pt>
                <c:pt idx="5">
                  <c:v>-14.283395894190562</c:v>
                </c:pt>
                <c:pt idx="6">
                  <c:v>-14.325272980811974</c:v>
                </c:pt>
                <c:pt idx="7">
                  <c:v>-9.3835400018596431</c:v>
                </c:pt>
                <c:pt idx="8">
                  <c:v>-6.8767699084286136</c:v>
                </c:pt>
                <c:pt idx="9">
                  <c:v>3.9999999999999147E-2</c:v>
                </c:pt>
              </c:numCache>
            </c:numRef>
          </c:yVal>
          <c:smooth val="0"/>
          <c:extLst>
            <c:ext xmlns:c16="http://schemas.microsoft.com/office/drawing/2014/chart" uri="{C3380CC4-5D6E-409C-BE32-E72D297353CC}">
              <c16:uniqueId val="{00000002-6CFC-46BA-96FF-26385B616330}"/>
            </c:ext>
          </c:extLst>
        </c:ser>
        <c:dLbls>
          <c:showLegendKey val="0"/>
          <c:showVal val="0"/>
          <c:showCatName val="0"/>
          <c:showSerName val="0"/>
          <c:showPercent val="0"/>
          <c:showBubbleSize val="0"/>
        </c:dLbls>
        <c:axId val="118072256"/>
        <c:axId val="118075136"/>
      </c:scatterChart>
      <c:valAx>
        <c:axId val="26724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9152"/>
        <c:crosses val="autoZero"/>
        <c:crossBetween val="midCat"/>
      </c:valAx>
      <c:valAx>
        <c:axId val="26724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248672"/>
        <c:crosses val="autoZero"/>
        <c:crossBetween val="midCat"/>
      </c:valAx>
      <c:valAx>
        <c:axId val="118075136"/>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2256"/>
        <c:crosses val="max"/>
        <c:crossBetween val="midCat"/>
      </c:valAx>
      <c:valAx>
        <c:axId val="118072256"/>
        <c:scaling>
          <c:orientation val="minMax"/>
        </c:scaling>
        <c:delete val="1"/>
        <c:axPos val="b"/>
        <c:numFmt formatCode="General" sourceLinked="1"/>
        <c:majorTickMark val="out"/>
        <c:minorTickMark val="none"/>
        <c:tickLblPos val="nextTo"/>
        <c:crossAx val="11807513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scatterChart>
        <c:scatterStyle val="lineMarker"/>
        <c:varyColors val="0"/>
        <c:ser>
          <c:idx val="0"/>
          <c:order val="0"/>
          <c:tx>
            <c:strRef>
              <c:f>coax_v_twist!$G$80</c:f>
              <c:strCache>
                <c:ptCount val="1"/>
                <c:pt idx="0">
                  <c:v>calculated</c:v>
                </c:pt>
              </c:strCache>
            </c:strRef>
          </c:tx>
          <c:spPr>
            <a:ln w="19050" cap="rnd">
              <a:solidFill>
                <a:schemeClr val="accent1"/>
              </a:solidFill>
              <a:round/>
            </a:ln>
            <a:effectLst/>
          </c:spPr>
          <c:marker>
            <c:symbol val="none"/>
          </c:marker>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coax_v_twist!$G$81:$G$90</c:f>
              <c:numCache>
                <c:formatCode>General</c:formatCode>
                <c:ptCount val="10"/>
                <c:pt idx="0">
                  <c:v>0.26617689000001121</c:v>
                </c:pt>
                <c:pt idx="1">
                  <c:v>0.215588952810009</c:v>
                </c:pt>
                <c:pt idx="2">
                  <c:v>0.1703305676799971</c:v>
                </c:pt>
                <c:pt idx="3">
                  <c:v>0.13040067327000315</c:v>
                </c:pt>
                <c:pt idx="4">
                  <c:v>9.5798208239983751E-2</c:v>
                </c:pt>
                <c:pt idx="5">
                  <c:v>6.6522111249987859E-2</c:v>
                </c:pt>
                <c:pt idx="6">
                  <c:v>4.2571320960000492E-2</c:v>
                </c:pt>
                <c:pt idx="7">
                  <c:v>2.3944776029999559E-2</c:v>
                </c:pt>
                <c:pt idx="8">
                  <c:v>1.0641415120002051E-2</c:v>
                </c:pt>
                <c:pt idx="9">
                  <c:v>2.6601768900036404E-3</c:v>
                </c:pt>
              </c:numCache>
            </c:numRef>
          </c:yVal>
          <c:smooth val="0"/>
          <c:extLst>
            <c:ext xmlns:c16="http://schemas.microsoft.com/office/drawing/2014/chart" uri="{C3380CC4-5D6E-409C-BE32-E72D297353CC}">
              <c16:uniqueId val="{00000000-2B93-41ED-A79B-6F90C72EA5D4}"/>
            </c:ext>
          </c:extLst>
        </c:ser>
        <c:ser>
          <c:idx val="1"/>
          <c:order val="1"/>
          <c:tx>
            <c:strRef>
              <c:f>coax_v_twist!$H$80</c:f>
              <c:strCache>
                <c:ptCount val="1"/>
                <c:pt idx="0">
                  <c:v>measured</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layout>
                <c:manualLayout>
                  <c:x val="-0.21737904636920385"/>
                  <c:y val="-1.3015081035662622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coax_v_twist!$B$102:$B$111</c:f>
              <c:numCache>
                <c:formatCode>0.0</c:formatCode>
                <c:ptCount val="10"/>
                <c:pt idx="0">
                  <c:v>100</c:v>
                </c:pt>
                <c:pt idx="1">
                  <c:v>94.868329805051374</c:v>
                </c:pt>
                <c:pt idx="2">
                  <c:v>89.442719099991592</c:v>
                </c:pt>
                <c:pt idx="3">
                  <c:v>83.66600265340756</c:v>
                </c:pt>
                <c:pt idx="4">
                  <c:v>77.459666924148337</c:v>
                </c:pt>
                <c:pt idx="5">
                  <c:v>70.710678118654755</c:v>
                </c:pt>
                <c:pt idx="6">
                  <c:v>63.245553203367585</c:v>
                </c:pt>
                <c:pt idx="7">
                  <c:v>54.772255750516607</c:v>
                </c:pt>
                <c:pt idx="8">
                  <c:v>44.721359549995796</c:v>
                </c:pt>
                <c:pt idx="9">
                  <c:v>31.622776601683793</c:v>
                </c:pt>
              </c:numCache>
            </c:numRef>
          </c:xVal>
          <c:yVal>
            <c:numRef>
              <c:f>coax_v_twist!$H$81:$H$90</c:f>
              <c:numCache>
                <c:formatCode>General</c:formatCode>
                <c:ptCount val="10"/>
                <c:pt idx="0">
                  <c:v>0.26600000000000001</c:v>
                </c:pt>
                <c:pt idx="1">
                  <c:v>0.2112</c:v>
                </c:pt>
                <c:pt idx="2">
                  <c:v>0.1678</c:v>
                </c:pt>
                <c:pt idx="3">
                  <c:v>0.12959999999999999</c:v>
                </c:pt>
                <c:pt idx="4">
                  <c:v>9.69E-2</c:v>
                </c:pt>
                <c:pt idx="5">
                  <c:v>6.7199999999999996E-2</c:v>
                </c:pt>
                <c:pt idx="6">
                  <c:v>4.3900000000000002E-2</c:v>
                </c:pt>
                <c:pt idx="7">
                  <c:v>2.5100000000000001E-2</c:v>
                </c:pt>
                <c:pt idx="8">
                  <c:v>1.1599999999999999E-2</c:v>
                </c:pt>
                <c:pt idx="9">
                  <c:v>2.8E-3</c:v>
                </c:pt>
              </c:numCache>
            </c:numRef>
          </c:yVal>
          <c:smooth val="0"/>
          <c:extLst>
            <c:ext xmlns:c16="http://schemas.microsoft.com/office/drawing/2014/chart" uri="{C3380CC4-5D6E-409C-BE32-E72D297353CC}">
              <c16:uniqueId val="{00000001-2B93-41ED-A79B-6F90C72EA5D4}"/>
            </c:ext>
          </c:extLst>
        </c:ser>
        <c:dLbls>
          <c:showLegendKey val="0"/>
          <c:showVal val="0"/>
          <c:showCatName val="0"/>
          <c:showSerName val="0"/>
          <c:showPercent val="0"/>
          <c:showBubbleSize val="0"/>
        </c:dLbls>
        <c:axId val="1205701632"/>
        <c:axId val="1205698752"/>
      </c:scatterChart>
      <c:scatterChart>
        <c:scatterStyle val="lineMarker"/>
        <c:varyColors val="0"/>
        <c:ser>
          <c:idx val="2"/>
          <c:order val="2"/>
          <c:tx>
            <c:strRef>
              <c:f>coax_v_twist!$I$80</c:f>
              <c:strCache>
                <c:ptCount val="1"/>
                <c:pt idx="0">
                  <c:v>calc-meas</c:v>
                </c:pt>
              </c:strCache>
            </c:strRef>
          </c:tx>
          <c:spPr>
            <a:ln w="19050" cap="rnd">
              <a:solidFill>
                <a:schemeClr val="accent3"/>
              </a:solidFill>
              <a:round/>
            </a:ln>
            <a:effectLst/>
          </c:spPr>
          <c:marker>
            <c:symbol val="none"/>
          </c:marker>
          <c:xVal>
            <c:numRef>
              <c:f>coax_v_twist!$A$81:$A$90</c:f>
              <c:numCache>
                <c:formatCode>General</c:formatCode>
                <c:ptCount val="10"/>
                <c:pt idx="0">
                  <c:v>100</c:v>
                </c:pt>
                <c:pt idx="1">
                  <c:v>90</c:v>
                </c:pt>
                <c:pt idx="2">
                  <c:v>80</c:v>
                </c:pt>
                <c:pt idx="3">
                  <c:v>70</c:v>
                </c:pt>
                <c:pt idx="4">
                  <c:v>60</c:v>
                </c:pt>
                <c:pt idx="5">
                  <c:v>50</c:v>
                </c:pt>
                <c:pt idx="6">
                  <c:v>40</c:v>
                </c:pt>
                <c:pt idx="7">
                  <c:v>30</c:v>
                </c:pt>
                <c:pt idx="8">
                  <c:v>20</c:v>
                </c:pt>
                <c:pt idx="9">
                  <c:v>10</c:v>
                </c:pt>
              </c:numCache>
            </c:numRef>
          </c:xVal>
          <c:yVal>
            <c:numRef>
              <c:f>coax_v_twist!$I$81:$I$90</c:f>
              <c:numCache>
                <c:formatCode>General</c:formatCode>
                <c:ptCount val="10"/>
                <c:pt idx="0">
                  <c:v>1.7689000001119837E-4</c:v>
                </c:pt>
                <c:pt idx="1">
                  <c:v>4.3889528100090058E-3</c:v>
                </c:pt>
                <c:pt idx="2">
                  <c:v>2.5305676799970978E-3</c:v>
                </c:pt>
                <c:pt idx="3">
                  <c:v>8.0067327000316046E-4</c:v>
                </c:pt>
                <c:pt idx="4">
                  <c:v>-1.1017917600162491E-3</c:v>
                </c:pt>
                <c:pt idx="5">
                  <c:v>-6.7788875001213722E-4</c:v>
                </c:pt>
                <c:pt idx="6">
                  <c:v>-1.3286790399995099E-3</c:v>
                </c:pt>
                <c:pt idx="7">
                  <c:v>-1.1552239700004414E-3</c:v>
                </c:pt>
                <c:pt idx="8">
                  <c:v>-9.5858487999794795E-4</c:v>
                </c:pt>
                <c:pt idx="9">
                  <c:v>-1.3982310999635953E-4</c:v>
                </c:pt>
              </c:numCache>
            </c:numRef>
          </c:yVal>
          <c:smooth val="0"/>
          <c:extLst>
            <c:ext xmlns:c16="http://schemas.microsoft.com/office/drawing/2014/chart" uri="{C3380CC4-5D6E-409C-BE32-E72D297353CC}">
              <c16:uniqueId val="{00000002-2B93-41ED-A79B-6F90C72EA5D4}"/>
            </c:ext>
          </c:extLst>
        </c:ser>
        <c:dLbls>
          <c:showLegendKey val="0"/>
          <c:showVal val="0"/>
          <c:showCatName val="0"/>
          <c:showSerName val="0"/>
          <c:showPercent val="0"/>
          <c:showBubbleSize val="0"/>
        </c:dLbls>
        <c:axId val="118049040"/>
        <c:axId val="118050480"/>
      </c:scatterChart>
      <c:valAx>
        <c:axId val="120570163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698752"/>
        <c:crosses val="autoZero"/>
        <c:crossBetween val="midCat"/>
      </c:valAx>
      <c:valAx>
        <c:axId val="12056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701632"/>
        <c:crosses val="autoZero"/>
        <c:crossBetween val="midCat"/>
      </c:valAx>
      <c:valAx>
        <c:axId val="118050480"/>
        <c:scaling>
          <c:orientation val="minMax"/>
        </c:scaling>
        <c:delete val="0"/>
        <c:axPos val="r"/>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49040"/>
        <c:crosses val="max"/>
        <c:crossBetween val="midCat"/>
      </c:valAx>
      <c:valAx>
        <c:axId val="118049040"/>
        <c:scaling>
          <c:orientation val="minMax"/>
        </c:scaling>
        <c:delete val="1"/>
        <c:axPos val="b"/>
        <c:numFmt formatCode="General" sourceLinked="1"/>
        <c:majorTickMark val="out"/>
        <c:minorTickMark val="none"/>
        <c:tickLblPos val="nextTo"/>
        <c:crossAx val="11805048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coax_v_twist!$G$143:$G$152</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coax_v_twist!$L$143:$L$152</c:f>
              <c:numCache>
                <c:formatCode>0.00E+00</c:formatCode>
                <c:ptCount val="10"/>
                <c:pt idx="0">
                  <c:v>3.1285466666655659E-5</c:v>
                </c:pt>
                <c:pt idx="1">
                  <c:v>1.305013555555623E-4</c:v>
                </c:pt>
                <c:pt idx="2">
                  <c:v>2.8345273333324483E-4</c:v>
                </c:pt>
                <c:pt idx="3">
                  <c:v>4.912474888889018E-4</c:v>
                </c:pt>
                <c:pt idx="4">
                  <c:v>7.5914751111116885E-4</c:v>
                </c:pt>
                <c:pt idx="5">
                  <c:v>1.091863077777866E-3</c:v>
                </c:pt>
                <c:pt idx="6">
                  <c:v>1.4849620333332589E-3</c:v>
                </c:pt>
                <c:pt idx="7">
                  <c:v>1.9185299999997518E-3</c:v>
                </c:pt>
                <c:pt idx="8">
                  <c:v>2.4168473444444727E-3</c:v>
                </c:pt>
                <c:pt idx="9">
                  <c:v>3.0448386333333795E-3</c:v>
                </c:pt>
              </c:numCache>
            </c:numRef>
          </c:yVal>
          <c:smooth val="0"/>
          <c:extLst>
            <c:ext xmlns:c16="http://schemas.microsoft.com/office/drawing/2014/chart" uri="{C3380CC4-5D6E-409C-BE32-E72D297353CC}">
              <c16:uniqueId val="{00000000-C183-456E-B98D-8BAA2BE17151}"/>
            </c:ext>
          </c:extLst>
        </c:ser>
        <c:dLbls>
          <c:showLegendKey val="0"/>
          <c:showVal val="0"/>
          <c:showCatName val="0"/>
          <c:showSerName val="0"/>
          <c:showPercent val="0"/>
          <c:showBubbleSize val="0"/>
        </c:dLbls>
        <c:axId val="1533176992"/>
        <c:axId val="1533171232"/>
      </c:scatterChart>
      <c:valAx>
        <c:axId val="153317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1232"/>
        <c:crosses val="autoZero"/>
        <c:crossBetween val="midCat"/>
      </c:valAx>
      <c:valAx>
        <c:axId val="153317123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1769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1.0002289629985432</c:v>
                </c:pt>
                <c:pt idx="7">
                  <c:v>1.0002547272405895</c:v>
                </c:pt>
              </c:numCache>
            </c:numRef>
          </c:yVal>
          <c:smooth val="0"/>
          <c:extLst>
            <c:ext xmlns:c16="http://schemas.microsoft.com/office/drawing/2014/chart" uri="{C3380CC4-5D6E-409C-BE32-E72D297353CC}">
              <c16:uniqueId val="{00000000-C40D-4D4A-A271-02235B714993}"/>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1.0000578633641475</c:v>
                </c:pt>
                <c:pt idx="7">
                  <c:v>1.0000791232235655</c:v>
                </c:pt>
              </c:numCache>
            </c:numRef>
          </c:yVal>
          <c:smooth val="0"/>
          <c:extLst>
            <c:ext xmlns:c16="http://schemas.microsoft.com/office/drawing/2014/chart" uri="{C3380CC4-5D6E-409C-BE32-E72D297353CC}">
              <c16:uniqueId val="{00000001-C40D-4D4A-A271-02235B714993}"/>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0.99994760010526973</c:v>
                </c:pt>
                <c:pt idx="7">
                  <c:v>0.99997018166688312</c:v>
                </c:pt>
              </c:numCache>
            </c:numRef>
          </c:yVal>
          <c:smooth val="0"/>
          <c:extLst>
            <c:ext xmlns:c16="http://schemas.microsoft.com/office/drawing/2014/chart" uri="{C3380CC4-5D6E-409C-BE32-E72D297353CC}">
              <c16:uniqueId val="{00000002-C40D-4D4A-A271-02235B714993}"/>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1.0008086549647168</c:v>
                </c:pt>
                <c:pt idx="7">
                  <c:v>1.0008285585223637</c:v>
                </c:pt>
              </c:numCache>
            </c:numRef>
          </c:yVal>
          <c:smooth val="0"/>
          <c:extLst>
            <c:ext xmlns:c16="http://schemas.microsoft.com/office/drawing/2014/chart" uri="{C3380CC4-5D6E-409C-BE32-E72D297353CC}">
              <c16:uniqueId val="{00000003-C40D-4D4A-A271-02235B714993}"/>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1.0001182039474474</c:v>
                </c:pt>
                <c:pt idx="7">
                  <c:v>1.0001496981232649</c:v>
                </c:pt>
              </c:numCache>
            </c:numRef>
          </c:yVal>
          <c:smooth val="0"/>
          <c:extLst>
            <c:ext xmlns:c16="http://schemas.microsoft.com/office/drawing/2014/chart" uri="{C3380CC4-5D6E-409C-BE32-E72D297353CC}">
              <c16:uniqueId val="{00000004-C40D-4D4A-A271-02235B714993}"/>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1.0002123260237954</c:v>
                </c:pt>
                <c:pt idx="7">
                  <c:v>1.0002317095583984</c:v>
                </c:pt>
              </c:numCache>
            </c:numRef>
          </c:yVal>
          <c:smooth val="0"/>
          <c:extLst>
            <c:ext xmlns:c16="http://schemas.microsoft.com/office/drawing/2014/chart" uri="{C3380CC4-5D6E-409C-BE32-E72D297353CC}">
              <c16:uniqueId val="{00000005-C40D-4D4A-A271-02235B714993}"/>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1.0001274121315924</c:v>
                </c:pt>
                <c:pt idx="7">
                  <c:v>1.0001081085704964</c:v>
                </c:pt>
              </c:numCache>
            </c:numRef>
          </c:yVal>
          <c:smooth val="0"/>
          <c:extLst>
            <c:ext xmlns:c16="http://schemas.microsoft.com/office/drawing/2014/chart" uri="{C3380CC4-5D6E-409C-BE32-E72D297353CC}">
              <c16:uniqueId val="{00000006-C40D-4D4A-A271-02235B714993}"/>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1.0003566155032846</c:v>
                </c:pt>
                <c:pt idx="7">
                  <c:v>1.0003849935063467</c:v>
                </c:pt>
              </c:numCache>
            </c:numRef>
          </c:yVal>
          <c:smooth val="0"/>
          <c:extLst>
            <c:ext xmlns:c16="http://schemas.microsoft.com/office/drawing/2014/chart" uri="{C3380CC4-5D6E-409C-BE32-E72D297353CC}">
              <c16:uniqueId val="{00000007-C40D-4D4A-A271-02235B714993}"/>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1.0000811202344004</c:v>
                </c:pt>
                <c:pt idx="7">
                  <c:v>1.0001271830490341</c:v>
                </c:pt>
              </c:numCache>
            </c:numRef>
          </c:yVal>
          <c:smooth val="0"/>
          <c:extLst>
            <c:ext xmlns:c16="http://schemas.microsoft.com/office/drawing/2014/chart" uri="{C3380CC4-5D6E-409C-BE32-E72D297353CC}">
              <c16:uniqueId val="{00000008-C40D-4D4A-A271-02235B714993}"/>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1.0000781033259478</c:v>
                </c:pt>
                <c:pt idx="7">
                  <c:v>1.0001086970713231</c:v>
                </c:pt>
              </c:numCache>
            </c:numRef>
          </c:yVal>
          <c:smooth val="0"/>
          <c:extLst>
            <c:ext xmlns:c16="http://schemas.microsoft.com/office/drawing/2014/chart" uri="{C3380CC4-5D6E-409C-BE32-E72D297353CC}">
              <c16:uniqueId val="{00000009-C40D-4D4A-A271-02235B714993}"/>
            </c:ext>
          </c:extLst>
        </c:ser>
        <c:ser>
          <c:idx val="10"/>
          <c:order val="1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LHistory!$N$16:$U$16</c:f>
              <c:numCache>
                <c:formatCode>General</c:formatCode>
                <c:ptCount val="8"/>
                <c:pt idx="0">
                  <c:v>1</c:v>
                </c:pt>
                <c:pt idx="1">
                  <c:v>1.0010784353573687</c:v>
                </c:pt>
                <c:pt idx="2">
                  <c:v>1.0002144713557508</c:v>
                </c:pt>
                <c:pt idx="3">
                  <c:v>1.00010161108754</c:v>
                </c:pt>
                <c:pt idx="4">
                  <c:v>0.99993807106598986</c:v>
                </c:pt>
                <c:pt idx="5">
                  <c:v>1.0002477157360405</c:v>
                </c:pt>
                <c:pt idx="6">
                  <c:v>0.99996629343783949</c:v>
                </c:pt>
                <c:pt idx="7">
                  <c:v>1.0000302850001501</c:v>
                </c:pt>
              </c:numCache>
            </c:numRef>
          </c:yVal>
          <c:smooth val="0"/>
          <c:extLst>
            <c:ext xmlns:c16="http://schemas.microsoft.com/office/drawing/2014/chart" uri="{C3380CC4-5D6E-409C-BE32-E72D297353CC}">
              <c16:uniqueId val="{0000000A-C40D-4D4A-A271-02235B714993}"/>
            </c:ext>
          </c:extLst>
        </c:ser>
        <c:ser>
          <c:idx val="11"/>
          <c:order val="1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LHistory!$N$17:$U$17</c:f>
              <c:numCache>
                <c:formatCode>General</c:formatCode>
                <c:ptCount val="8"/>
                <c:pt idx="0">
                  <c:v>1</c:v>
                </c:pt>
                <c:pt idx="1">
                  <c:v>1.0000682331035813</c:v>
                </c:pt>
                <c:pt idx="2">
                  <c:v>0.99931271867554017</c:v>
                </c:pt>
                <c:pt idx="3">
                  <c:v>0.99918958445371131</c:v>
                </c:pt>
                <c:pt idx="4">
                  <c:v>0.99912627986348124</c:v>
                </c:pt>
                <c:pt idx="5">
                  <c:v>0.99929465301478948</c:v>
                </c:pt>
                <c:pt idx="6">
                  <c:v>0.99905898095998602</c:v>
                </c:pt>
                <c:pt idx="7">
                  <c:v>0.99911804655682068</c:v>
                </c:pt>
              </c:numCache>
            </c:numRef>
          </c:yVal>
          <c:smooth val="0"/>
          <c:extLst>
            <c:ext xmlns:c16="http://schemas.microsoft.com/office/drawing/2014/chart" uri="{C3380CC4-5D6E-409C-BE32-E72D297353CC}">
              <c16:uniqueId val="{0000000B-C40D-4D4A-A271-02235B714993}"/>
            </c:ext>
          </c:extLst>
        </c:ser>
        <c:ser>
          <c:idx val="12"/>
          <c:order val="1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LHistory!$N$18:$U$18</c:f>
              <c:numCache>
                <c:formatCode>General</c:formatCode>
                <c:ptCount val="8"/>
                <c:pt idx="0">
                  <c:v>1</c:v>
                </c:pt>
                <c:pt idx="1">
                  <c:v>1.0009087831245977</c:v>
                </c:pt>
                <c:pt idx="2">
                  <c:v>1.0002469911834135</c:v>
                </c:pt>
                <c:pt idx="3">
                  <c:v>1.0001228723192235</c:v>
                </c:pt>
                <c:pt idx="4">
                  <c:v>1.000109833971903</c:v>
                </c:pt>
                <c:pt idx="5">
                  <c:v>1.0002911877394636</c:v>
                </c:pt>
                <c:pt idx="6">
                  <c:v>1.000044664102306</c:v>
                </c:pt>
                <c:pt idx="7">
                  <c:v>1.0001082906426144</c:v>
                </c:pt>
              </c:numCache>
            </c:numRef>
          </c:yVal>
          <c:smooth val="0"/>
          <c:extLst>
            <c:ext xmlns:c16="http://schemas.microsoft.com/office/drawing/2014/chart" uri="{C3380CC4-5D6E-409C-BE32-E72D297353CC}">
              <c16:uniqueId val="{0000000C-C40D-4D4A-A271-02235B714993}"/>
            </c:ext>
          </c:extLst>
        </c:ser>
        <c:ser>
          <c:idx val="13"/>
          <c:order val="1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LHistory!$N$19:$U$19</c:f>
              <c:numCache>
                <c:formatCode>General</c:formatCode>
                <c:ptCount val="8"/>
                <c:pt idx="0">
                  <c:v>1</c:v>
                </c:pt>
                <c:pt idx="1">
                  <c:v>1.0004166496671538</c:v>
                </c:pt>
                <c:pt idx="2">
                  <c:v>0.9998191521425831</c:v>
                </c:pt>
                <c:pt idx="3">
                  <c:v>0.99971753829979138</c:v>
                </c:pt>
                <c:pt idx="4">
                  <c:v>0.99972898550724631</c:v>
                </c:pt>
                <c:pt idx="5">
                  <c:v>0.99989710144927535</c:v>
                </c:pt>
                <c:pt idx="6">
                  <c:v>0.99969584056712213</c:v>
                </c:pt>
                <c:pt idx="7">
                  <c:v>0.99976500364460819</c:v>
                </c:pt>
              </c:numCache>
            </c:numRef>
          </c:yVal>
          <c:smooth val="0"/>
          <c:extLst>
            <c:ext xmlns:c16="http://schemas.microsoft.com/office/drawing/2014/chart" uri="{C3380CC4-5D6E-409C-BE32-E72D297353CC}">
              <c16:uniqueId val="{0000000D-C40D-4D4A-A271-02235B714993}"/>
            </c:ext>
          </c:extLst>
        </c:ser>
        <c:ser>
          <c:idx val="14"/>
          <c:order val="1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LHistory!$N$20:$U$20</c:f>
              <c:numCache>
                <c:formatCode>General</c:formatCode>
                <c:ptCount val="8"/>
                <c:pt idx="0">
                  <c:v>1</c:v>
                </c:pt>
                <c:pt idx="1">
                  <c:v>1.0012106919355677</c:v>
                </c:pt>
                <c:pt idx="2">
                  <c:v>1.0006881095857518</c:v>
                </c:pt>
                <c:pt idx="3">
                  <c:v>1.0006051964586355</c:v>
                </c:pt>
                <c:pt idx="4">
                  <c:v>1.0006081081081082</c:v>
                </c:pt>
                <c:pt idx="5">
                  <c:v>1.0007956081081082</c:v>
                </c:pt>
                <c:pt idx="6">
                  <c:v>1.000618322537759</c:v>
                </c:pt>
                <c:pt idx="7">
                  <c:v>1.0006734214108897</c:v>
                </c:pt>
              </c:numCache>
            </c:numRef>
          </c:yVal>
          <c:smooth val="0"/>
          <c:extLst>
            <c:ext xmlns:c16="http://schemas.microsoft.com/office/drawing/2014/chart" uri="{C3380CC4-5D6E-409C-BE32-E72D297353CC}">
              <c16:uniqueId val="{0000000E-C40D-4D4A-A271-02235B714993}"/>
            </c:ext>
          </c:extLst>
        </c:ser>
        <c:ser>
          <c:idx val="15"/>
          <c:order val="1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LHistory!$N$21:$U$21</c:f>
              <c:numCache>
                <c:formatCode>General</c:formatCode>
                <c:ptCount val="8"/>
                <c:pt idx="0">
                  <c:v>1</c:v>
                </c:pt>
                <c:pt idx="1">
                  <c:v>1.0003495210906386</c:v>
                </c:pt>
                <c:pt idx="2">
                  <c:v>0.99988576169085785</c:v>
                </c:pt>
                <c:pt idx="3">
                  <c:v>0.9998108645490128</c:v>
                </c:pt>
                <c:pt idx="4">
                  <c:v>0.99981810832659657</c:v>
                </c:pt>
                <c:pt idx="5">
                  <c:v>1.0000060630557801</c:v>
                </c:pt>
                <c:pt idx="6">
                  <c:v>0.9998376251409169</c:v>
                </c:pt>
                <c:pt idx="7">
                  <c:v>0.99988919353303096</c:v>
                </c:pt>
              </c:numCache>
            </c:numRef>
          </c:yVal>
          <c:smooth val="0"/>
          <c:extLst>
            <c:ext xmlns:c16="http://schemas.microsoft.com/office/drawing/2014/chart" uri="{C3380CC4-5D6E-409C-BE32-E72D297353CC}">
              <c16:uniqueId val="{0000000F-C40D-4D4A-A271-02235B714993}"/>
            </c:ext>
          </c:extLst>
        </c:ser>
        <c:ser>
          <c:idx val="16"/>
          <c:order val="1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LHistory!$N$22:$U$22</c:f>
              <c:numCache>
                <c:formatCode>General</c:formatCode>
                <c:ptCount val="8"/>
                <c:pt idx="0">
                  <c:v>1</c:v>
                </c:pt>
                <c:pt idx="1">
                  <c:v>1.0002843628552982</c:v>
                </c:pt>
                <c:pt idx="2">
                  <c:v>0.99989697890233831</c:v>
                </c:pt>
                <c:pt idx="3">
                  <c:v>0.99982425826246024</c:v>
                </c:pt>
                <c:pt idx="4">
                  <c:v>0.99982706766917284</c:v>
                </c:pt>
                <c:pt idx="5">
                  <c:v>1.0000200501253131</c:v>
                </c:pt>
                <c:pt idx="6">
                  <c:v>0.99989596360487065</c:v>
                </c:pt>
                <c:pt idx="7">
                  <c:v>0.99993459753703828</c:v>
                </c:pt>
              </c:numCache>
            </c:numRef>
          </c:yVal>
          <c:smooth val="0"/>
          <c:extLst>
            <c:ext xmlns:c16="http://schemas.microsoft.com/office/drawing/2014/chart" uri="{C3380CC4-5D6E-409C-BE32-E72D297353CC}">
              <c16:uniqueId val="{00000010-C40D-4D4A-A271-02235B714993}"/>
            </c:ext>
          </c:extLst>
        </c:ser>
        <c:ser>
          <c:idx val="17"/>
          <c:order val="1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LHistory!$N$23:$U$23</c:f>
              <c:numCache>
                <c:formatCode>General</c:formatCode>
                <c:ptCount val="8"/>
                <c:pt idx="0">
                  <c:v>1</c:v>
                </c:pt>
                <c:pt idx="1">
                  <c:v>1.0000958223642578</c:v>
                </c:pt>
                <c:pt idx="2">
                  <c:v>0.99975526127247316</c:v>
                </c:pt>
                <c:pt idx="3">
                  <c:v>0.99969626017773117</c:v>
                </c:pt>
                <c:pt idx="4">
                  <c:v>0.99968791064388973</c:v>
                </c:pt>
                <c:pt idx="5">
                  <c:v>0.99990473061760843</c:v>
                </c:pt>
                <c:pt idx="6">
                  <c:v>0.99979784203599642</c:v>
                </c:pt>
                <c:pt idx="7">
                  <c:v>0.99985473287009075</c:v>
                </c:pt>
              </c:numCache>
            </c:numRef>
          </c:yVal>
          <c:smooth val="0"/>
          <c:extLst>
            <c:ext xmlns:c16="http://schemas.microsoft.com/office/drawing/2014/chart" uri="{C3380CC4-5D6E-409C-BE32-E72D297353CC}">
              <c16:uniqueId val="{00000011-C40D-4D4A-A271-02235B714993}"/>
            </c:ext>
          </c:extLst>
        </c:ser>
        <c:ser>
          <c:idx val="18"/>
          <c:order val="1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LHistory!$N$24:$U$24</c:f>
              <c:numCache>
                <c:formatCode>General</c:formatCode>
                <c:ptCount val="8"/>
                <c:pt idx="0">
                  <c:v>1</c:v>
                </c:pt>
                <c:pt idx="1">
                  <c:v>1.0002867367700339</c:v>
                </c:pt>
                <c:pt idx="2">
                  <c:v>0.99998933117092481</c:v>
                </c:pt>
                <c:pt idx="3">
                  <c:v>0.99996562422867774</c:v>
                </c:pt>
                <c:pt idx="4">
                  <c:v>0.99995666827154561</c:v>
                </c:pt>
                <c:pt idx="5">
                  <c:v>1.0001588830043333</c:v>
                </c:pt>
                <c:pt idx="6">
                  <c:v>1.0000863758075498</c:v>
                </c:pt>
                <c:pt idx="7">
                  <c:v>1.0001403794176835</c:v>
                </c:pt>
              </c:numCache>
            </c:numRef>
          </c:yVal>
          <c:smooth val="0"/>
          <c:extLst>
            <c:ext xmlns:c16="http://schemas.microsoft.com/office/drawing/2014/chart" uri="{C3380CC4-5D6E-409C-BE32-E72D297353CC}">
              <c16:uniqueId val="{00000012-C40D-4D4A-A271-02235B714993}"/>
            </c:ext>
          </c:extLst>
        </c:ser>
        <c:ser>
          <c:idx val="19"/>
          <c:order val="1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LHistory!$N$25:$U$25</c:f>
              <c:numCache>
                <c:formatCode>General</c:formatCode>
                <c:ptCount val="8"/>
                <c:pt idx="0">
                  <c:v>1</c:v>
                </c:pt>
                <c:pt idx="1">
                  <c:v>1.000267424131819</c:v>
                </c:pt>
                <c:pt idx="2">
                  <c:v>1.000027919414435</c:v>
                </c:pt>
                <c:pt idx="3">
                  <c:v>1.0000379211336454</c:v>
                </c:pt>
                <c:pt idx="4">
                  <c:v>1</c:v>
                </c:pt>
                <c:pt idx="5">
                  <c:v>1.0002213666987487</c:v>
                </c:pt>
                <c:pt idx="6">
                  <c:v>1.0001146376019316</c:v>
                </c:pt>
                <c:pt idx="7">
                  <c:v>1.0001638021004784</c:v>
                </c:pt>
              </c:numCache>
            </c:numRef>
          </c:yVal>
          <c:smooth val="0"/>
          <c:extLst>
            <c:ext xmlns:c16="http://schemas.microsoft.com/office/drawing/2014/chart" uri="{C3380CC4-5D6E-409C-BE32-E72D297353CC}">
              <c16:uniqueId val="{00000013-C40D-4D4A-A271-02235B714993}"/>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0"/>
          <c:order val="0"/>
          <c:tx>
            <c:strRef>
              <c:f>LHistory!$C$16</c:f>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LHistory!$N$16:$V$16</c:f>
              <c:numCache>
                <c:formatCode>General</c:formatCode>
                <c:ptCount val="9"/>
                <c:pt idx="0">
                  <c:v>1</c:v>
                </c:pt>
                <c:pt idx="1">
                  <c:v>1.0010784353573687</c:v>
                </c:pt>
                <c:pt idx="2">
                  <c:v>1.0002144713557508</c:v>
                </c:pt>
                <c:pt idx="3">
                  <c:v>1.00010161108754</c:v>
                </c:pt>
                <c:pt idx="4">
                  <c:v>0.99993807106598986</c:v>
                </c:pt>
                <c:pt idx="5">
                  <c:v>1.0002477157360405</c:v>
                </c:pt>
                <c:pt idx="6">
                  <c:v>0.99996629343783949</c:v>
                </c:pt>
                <c:pt idx="7">
                  <c:v>1.0000302850001501</c:v>
                </c:pt>
                <c:pt idx="8">
                  <c:v>1.0001463133271919</c:v>
                </c:pt>
              </c:numCache>
            </c:numRef>
          </c:yVal>
          <c:smooth val="0"/>
          <c:extLst>
            <c:ext xmlns:c16="http://schemas.microsoft.com/office/drawing/2014/chart" uri="{C3380CC4-5D6E-409C-BE32-E72D297353CC}">
              <c16:uniqueId val="{0000000A-4CAB-456A-BF2E-63C2B30DA649}"/>
            </c:ext>
          </c:extLst>
        </c:ser>
        <c:ser>
          <c:idx val="11"/>
          <c:order val="1"/>
          <c:tx>
            <c:strRef>
              <c:f>LHistory!$C$17</c:f>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LHistory!$N$17:$V$17</c:f>
              <c:numCache>
                <c:formatCode>General</c:formatCode>
                <c:ptCount val="9"/>
                <c:pt idx="0">
                  <c:v>1</c:v>
                </c:pt>
                <c:pt idx="1">
                  <c:v>1.0000682331035813</c:v>
                </c:pt>
                <c:pt idx="2">
                  <c:v>0.99931271867554017</c:v>
                </c:pt>
                <c:pt idx="3">
                  <c:v>0.99918958445371131</c:v>
                </c:pt>
                <c:pt idx="4">
                  <c:v>0.99912627986348124</c:v>
                </c:pt>
                <c:pt idx="5">
                  <c:v>0.99929465301478948</c:v>
                </c:pt>
                <c:pt idx="6">
                  <c:v>0.99905898095998602</c:v>
                </c:pt>
                <c:pt idx="7">
                  <c:v>0.99911804655682068</c:v>
                </c:pt>
                <c:pt idx="8">
                  <c:v>0.99926278913442323</c:v>
                </c:pt>
              </c:numCache>
            </c:numRef>
          </c:yVal>
          <c:smooth val="0"/>
          <c:extLst>
            <c:ext xmlns:c16="http://schemas.microsoft.com/office/drawing/2014/chart" uri="{C3380CC4-5D6E-409C-BE32-E72D297353CC}">
              <c16:uniqueId val="{0000000B-4CAB-456A-BF2E-63C2B30DA649}"/>
            </c:ext>
          </c:extLst>
        </c:ser>
        <c:ser>
          <c:idx val="12"/>
          <c:order val="2"/>
          <c:tx>
            <c:strRef>
              <c:f>LHistory!$C$18</c:f>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LHistory!$N$18:$V$18</c:f>
              <c:numCache>
                <c:formatCode>General</c:formatCode>
                <c:ptCount val="9"/>
                <c:pt idx="0">
                  <c:v>1</c:v>
                </c:pt>
                <c:pt idx="1">
                  <c:v>1.0009087831245977</c:v>
                </c:pt>
                <c:pt idx="2">
                  <c:v>1.0002469911834135</c:v>
                </c:pt>
                <c:pt idx="3">
                  <c:v>1.0001228723192235</c:v>
                </c:pt>
                <c:pt idx="4">
                  <c:v>1.000109833971903</c:v>
                </c:pt>
                <c:pt idx="5">
                  <c:v>1.0002911877394636</c:v>
                </c:pt>
                <c:pt idx="6">
                  <c:v>1.000044664102306</c:v>
                </c:pt>
                <c:pt idx="7">
                  <c:v>1.0001082906426144</c:v>
                </c:pt>
                <c:pt idx="8">
                  <c:v>1.0001957430215722</c:v>
                </c:pt>
              </c:numCache>
            </c:numRef>
          </c:yVal>
          <c:smooth val="0"/>
          <c:extLst>
            <c:ext xmlns:c16="http://schemas.microsoft.com/office/drawing/2014/chart" uri="{C3380CC4-5D6E-409C-BE32-E72D297353CC}">
              <c16:uniqueId val="{0000000C-4CAB-456A-BF2E-63C2B30DA649}"/>
            </c:ext>
          </c:extLst>
        </c:ser>
        <c:ser>
          <c:idx val="13"/>
          <c:order val="3"/>
          <c:tx>
            <c:strRef>
              <c:f>LHistory!$C$19</c:f>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LHistory!$N$19:$V$19</c:f>
              <c:numCache>
                <c:formatCode>General</c:formatCode>
                <c:ptCount val="9"/>
                <c:pt idx="0">
                  <c:v>1</c:v>
                </c:pt>
                <c:pt idx="1">
                  <c:v>1.0004166496671538</c:v>
                </c:pt>
                <c:pt idx="2">
                  <c:v>0.9998191521425831</c:v>
                </c:pt>
                <c:pt idx="3">
                  <c:v>0.99971753829979138</c:v>
                </c:pt>
                <c:pt idx="4">
                  <c:v>0.99972898550724631</c:v>
                </c:pt>
                <c:pt idx="5">
                  <c:v>0.99989710144927535</c:v>
                </c:pt>
                <c:pt idx="6">
                  <c:v>0.99969584056712213</c:v>
                </c:pt>
                <c:pt idx="7">
                  <c:v>0.99976500364460819</c:v>
                </c:pt>
                <c:pt idx="8">
                  <c:v>0.9997825139735842</c:v>
                </c:pt>
              </c:numCache>
            </c:numRef>
          </c:yVal>
          <c:smooth val="0"/>
          <c:extLst>
            <c:ext xmlns:c16="http://schemas.microsoft.com/office/drawing/2014/chart" uri="{C3380CC4-5D6E-409C-BE32-E72D297353CC}">
              <c16:uniqueId val="{0000000D-4CAB-456A-BF2E-63C2B30DA649}"/>
            </c:ext>
          </c:extLst>
        </c:ser>
        <c:ser>
          <c:idx val="14"/>
          <c:order val="4"/>
          <c:tx>
            <c:strRef>
              <c:f>LHistory!$C$20</c:f>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LHistory!$N$20:$V$20</c:f>
              <c:numCache>
                <c:formatCode>General</c:formatCode>
                <c:ptCount val="9"/>
                <c:pt idx="0">
                  <c:v>1</c:v>
                </c:pt>
                <c:pt idx="1">
                  <c:v>1.0012106919355677</c:v>
                </c:pt>
                <c:pt idx="2">
                  <c:v>1.0006881095857518</c:v>
                </c:pt>
                <c:pt idx="3">
                  <c:v>1.0006051964586355</c:v>
                </c:pt>
                <c:pt idx="4">
                  <c:v>1.0006081081081082</c:v>
                </c:pt>
                <c:pt idx="5">
                  <c:v>1.0007956081081082</c:v>
                </c:pt>
                <c:pt idx="6">
                  <c:v>1.000618322537759</c:v>
                </c:pt>
                <c:pt idx="7">
                  <c:v>1.0006734214108897</c:v>
                </c:pt>
                <c:pt idx="8">
                  <c:v>1.0006448303238598</c:v>
                </c:pt>
              </c:numCache>
            </c:numRef>
          </c:yVal>
          <c:smooth val="0"/>
          <c:extLst>
            <c:ext xmlns:c16="http://schemas.microsoft.com/office/drawing/2014/chart" uri="{C3380CC4-5D6E-409C-BE32-E72D297353CC}">
              <c16:uniqueId val="{0000000E-4CAB-456A-BF2E-63C2B30DA649}"/>
            </c:ext>
          </c:extLst>
        </c:ser>
        <c:ser>
          <c:idx val="15"/>
          <c:order val="5"/>
          <c:tx>
            <c:strRef>
              <c:f>LHistory!$C$21</c:f>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LHistory!$N$21:$V$21</c:f>
              <c:numCache>
                <c:formatCode>General</c:formatCode>
                <c:ptCount val="9"/>
                <c:pt idx="0">
                  <c:v>1</c:v>
                </c:pt>
                <c:pt idx="1">
                  <c:v>1.0003495210906386</c:v>
                </c:pt>
                <c:pt idx="2">
                  <c:v>0.99988576169085785</c:v>
                </c:pt>
                <c:pt idx="3">
                  <c:v>0.9998108645490128</c:v>
                </c:pt>
                <c:pt idx="4">
                  <c:v>0.99981810832659657</c:v>
                </c:pt>
                <c:pt idx="5">
                  <c:v>1.0000060630557801</c:v>
                </c:pt>
                <c:pt idx="6">
                  <c:v>0.9998376251409169</c:v>
                </c:pt>
                <c:pt idx="7">
                  <c:v>0.99988919353303096</c:v>
                </c:pt>
                <c:pt idx="8">
                  <c:v>0.99982114510765363</c:v>
                </c:pt>
              </c:numCache>
            </c:numRef>
          </c:yVal>
          <c:smooth val="0"/>
          <c:extLst>
            <c:ext xmlns:c16="http://schemas.microsoft.com/office/drawing/2014/chart" uri="{C3380CC4-5D6E-409C-BE32-E72D297353CC}">
              <c16:uniqueId val="{0000000F-4CAB-456A-BF2E-63C2B30DA649}"/>
            </c:ext>
          </c:extLst>
        </c:ser>
        <c:ser>
          <c:idx val="16"/>
          <c:order val="6"/>
          <c:tx>
            <c:strRef>
              <c:f>LHistory!$C$22</c:f>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LHistory!$N$22:$V$22</c:f>
              <c:numCache>
                <c:formatCode>General</c:formatCode>
                <c:ptCount val="9"/>
                <c:pt idx="0">
                  <c:v>1</c:v>
                </c:pt>
                <c:pt idx="1">
                  <c:v>1.0002843628552982</c:v>
                </c:pt>
                <c:pt idx="2">
                  <c:v>0.99989697890233831</c:v>
                </c:pt>
                <c:pt idx="3">
                  <c:v>0.99982425826246024</c:v>
                </c:pt>
                <c:pt idx="4">
                  <c:v>0.99982706766917284</c:v>
                </c:pt>
                <c:pt idx="5">
                  <c:v>1.0000200501253131</c:v>
                </c:pt>
                <c:pt idx="6">
                  <c:v>0.99989596360487065</c:v>
                </c:pt>
                <c:pt idx="7">
                  <c:v>0.99993459753703828</c:v>
                </c:pt>
                <c:pt idx="8">
                  <c:v>0.99982620832711788</c:v>
                </c:pt>
              </c:numCache>
            </c:numRef>
          </c:yVal>
          <c:smooth val="0"/>
          <c:extLst>
            <c:ext xmlns:c16="http://schemas.microsoft.com/office/drawing/2014/chart" uri="{C3380CC4-5D6E-409C-BE32-E72D297353CC}">
              <c16:uniqueId val="{00000010-4CAB-456A-BF2E-63C2B30DA649}"/>
            </c:ext>
          </c:extLst>
        </c:ser>
        <c:ser>
          <c:idx val="17"/>
          <c:order val="7"/>
          <c:tx>
            <c:strRef>
              <c:f>LHistory!$C$23</c:f>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LHistory!$N$23:$V$23</c:f>
              <c:numCache>
                <c:formatCode>General</c:formatCode>
                <c:ptCount val="9"/>
                <c:pt idx="0">
                  <c:v>1</c:v>
                </c:pt>
                <c:pt idx="1">
                  <c:v>1.0000958223642578</c:v>
                </c:pt>
                <c:pt idx="2">
                  <c:v>0.99975526127247316</c:v>
                </c:pt>
                <c:pt idx="3">
                  <c:v>0.99969626017773117</c:v>
                </c:pt>
                <c:pt idx="4">
                  <c:v>0.99968791064388973</c:v>
                </c:pt>
                <c:pt idx="5">
                  <c:v>0.99990473061760843</c:v>
                </c:pt>
                <c:pt idx="6">
                  <c:v>0.99979784203599642</c:v>
                </c:pt>
                <c:pt idx="7">
                  <c:v>0.99985473287009075</c:v>
                </c:pt>
                <c:pt idx="8">
                  <c:v>0.99968807821148487</c:v>
                </c:pt>
              </c:numCache>
            </c:numRef>
          </c:yVal>
          <c:smooth val="0"/>
          <c:extLst>
            <c:ext xmlns:c16="http://schemas.microsoft.com/office/drawing/2014/chart" uri="{C3380CC4-5D6E-409C-BE32-E72D297353CC}">
              <c16:uniqueId val="{00000011-4CAB-456A-BF2E-63C2B30DA649}"/>
            </c:ext>
          </c:extLst>
        </c:ser>
        <c:ser>
          <c:idx val="18"/>
          <c:order val="8"/>
          <c:tx>
            <c:strRef>
              <c:f>LHistory!$C$24</c:f>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LHistory!$N$24:$V$24</c:f>
              <c:numCache>
                <c:formatCode>General</c:formatCode>
                <c:ptCount val="9"/>
                <c:pt idx="0">
                  <c:v>1</c:v>
                </c:pt>
                <c:pt idx="1">
                  <c:v>1.0002867367700339</c:v>
                </c:pt>
                <c:pt idx="2">
                  <c:v>0.99998933117092481</c:v>
                </c:pt>
                <c:pt idx="3">
                  <c:v>0.99996562422867774</c:v>
                </c:pt>
                <c:pt idx="4">
                  <c:v>0.99995666827154561</c:v>
                </c:pt>
                <c:pt idx="5">
                  <c:v>1.0001588830043333</c:v>
                </c:pt>
                <c:pt idx="6">
                  <c:v>1.0000863758075498</c:v>
                </c:pt>
                <c:pt idx="7">
                  <c:v>1.0001403794176835</c:v>
                </c:pt>
                <c:pt idx="8">
                  <c:v>0.99991348596551755</c:v>
                </c:pt>
              </c:numCache>
            </c:numRef>
          </c:yVal>
          <c:smooth val="0"/>
          <c:extLst>
            <c:ext xmlns:c16="http://schemas.microsoft.com/office/drawing/2014/chart" uri="{C3380CC4-5D6E-409C-BE32-E72D297353CC}">
              <c16:uniqueId val="{00000012-4CAB-456A-BF2E-63C2B30DA649}"/>
            </c:ext>
          </c:extLst>
        </c:ser>
        <c:ser>
          <c:idx val="19"/>
          <c:order val="9"/>
          <c:tx>
            <c:strRef>
              <c:f>LHistory!$C$25</c:f>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f>LHistory!$N$5:$V$5</c:f>
              <c:numCache>
                <c:formatCode>m/d/yyyy</c:formatCode>
                <c:ptCount val="9"/>
                <c:pt idx="0">
                  <c:v>33850</c:v>
                </c:pt>
                <c:pt idx="1">
                  <c:v>35523</c:v>
                </c:pt>
                <c:pt idx="2">
                  <c:v>37148</c:v>
                </c:pt>
                <c:pt idx="3">
                  <c:v>38883</c:v>
                </c:pt>
                <c:pt idx="4">
                  <c:v>40585</c:v>
                </c:pt>
                <c:pt idx="5">
                  <c:v>42236</c:v>
                </c:pt>
                <c:pt idx="6">
                  <c:v>43803</c:v>
                </c:pt>
                <c:pt idx="7">
                  <c:v>45646</c:v>
                </c:pt>
                <c:pt idx="8">
                  <c:v>45991</c:v>
                </c:pt>
              </c:numCache>
            </c:numRef>
          </c:xVal>
          <c:yVal>
            <c:numRef>
              <c:f>LHistory!$N$25:$V$25</c:f>
              <c:numCache>
                <c:formatCode>General</c:formatCode>
                <c:ptCount val="9"/>
                <c:pt idx="0">
                  <c:v>1</c:v>
                </c:pt>
                <c:pt idx="1">
                  <c:v>1.000267424131819</c:v>
                </c:pt>
                <c:pt idx="2">
                  <c:v>1.000027919414435</c:v>
                </c:pt>
                <c:pt idx="3">
                  <c:v>1.0000379211336454</c:v>
                </c:pt>
                <c:pt idx="4">
                  <c:v>1</c:v>
                </c:pt>
                <c:pt idx="5">
                  <c:v>1.0002213666987487</c:v>
                </c:pt>
                <c:pt idx="6">
                  <c:v>1.0001146376019316</c:v>
                </c:pt>
                <c:pt idx="7">
                  <c:v>1.0001638021004784</c:v>
                </c:pt>
                <c:pt idx="8">
                  <c:v>0.99995694718075079</c:v>
                </c:pt>
              </c:numCache>
            </c:numRef>
          </c:yVal>
          <c:smooth val="0"/>
          <c:extLst>
            <c:ext xmlns:c16="http://schemas.microsoft.com/office/drawing/2014/chart" uri="{C3380CC4-5D6E-409C-BE32-E72D297353CC}">
              <c16:uniqueId val="{00000013-4CAB-456A-BF2E-63C2B30DA649}"/>
            </c:ext>
          </c:extLst>
        </c:ser>
        <c:dLbls>
          <c:showLegendKey val="0"/>
          <c:showVal val="0"/>
          <c:showCatName val="0"/>
          <c:showSerName val="0"/>
          <c:showPercent val="0"/>
          <c:showBubbleSize val="0"/>
        </c:dLbls>
        <c:axId val="670281423"/>
        <c:axId val="670284783"/>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max val="1.0034999999999998"/>
          <c:min val="0.99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LHistory!$C$6</c:f>
              <c:strCache>
                <c:ptCount val="1"/>
                <c:pt idx="0">
                  <c:v>100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LHistory!$N$6:$U$6</c:f>
              <c:numCache>
                <c:formatCode>General</c:formatCode>
                <c:ptCount val="8"/>
                <c:pt idx="0">
                  <c:v>1</c:v>
                </c:pt>
                <c:pt idx="1">
                  <c:v>0.99993202316483487</c:v>
                </c:pt>
                <c:pt idx="2">
                  <c:v>0.9997778561293762</c:v>
                </c:pt>
                <c:pt idx="3">
                  <c:v>0.9997700481187034</c:v>
                </c:pt>
                <c:pt idx="4">
                  <c:v>0.9999347181008903</c:v>
                </c:pt>
                <c:pt idx="5">
                  <c:v>1.0001424332344215</c:v>
                </c:pt>
                <c:pt idx="6">
                  <c:v>1.0002289629985432</c:v>
                </c:pt>
                <c:pt idx="7">
                  <c:v>1.0002547272405895</c:v>
                </c:pt>
              </c:numCache>
            </c:numRef>
          </c:yVal>
          <c:smooth val="0"/>
          <c:extLst>
            <c:ext xmlns:c16="http://schemas.microsoft.com/office/drawing/2014/chart" uri="{C3380CC4-5D6E-409C-BE32-E72D297353CC}">
              <c16:uniqueId val="{00000000-1F4B-4741-8D0E-0F7E1B19665D}"/>
            </c:ext>
          </c:extLst>
        </c:ser>
        <c:ser>
          <c:idx val="1"/>
          <c:order val="1"/>
          <c:tx>
            <c:strRef>
              <c:f>LHistory!$C$7</c:f>
              <c:strCache>
                <c:ptCount val="1"/>
                <c:pt idx="0">
                  <c:v>90</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LHistory!$N$7:$U$7</c:f>
              <c:numCache>
                <c:formatCode>General</c:formatCode>
                <c:ptCount val="8"/>
                <c:pt idx="0">
                  <c:v>1</c:v>
                </c:pt>
                <c:pt idx="1">
                  <c:v>0.99970415875825624</c:v>
                </c:pt>
                <c:pt idx="2">
                  <c:v>0.99962776781223772</c:v>
                </c:pt>
                <c:pt idx="3">
                  <c:v>0.99956809057796314</c:v>
                </c:pt>
                <c:pt idx="4">
                  <c:v>0.99984269662921355</c:v>
                </c:pt>
                <c:pt idx="5">
                  <c:v>1.0000707865168539</c:v>
                </c:pt>
                <c:pt idx="6">
                  <c:v>1.0000578633641475</c:v>
                </c:pt>
                <c:pt idx="7">
                  <c:v>1.0000791232235655</c:v>
                </c:pt>
              </c:numCache>
            </c:numRef>
          </c:yVal>
          <c:smooth val="0"/>
          <c:extLst>
            <c:ext xmlns:c16="http://schemas.microsoft.com/office/drawing/2014/chart" uri="{C3380CC4-5D6E-409C-BE32-E72D297353CC}">
              <c16:uniqueId val="{00000001-1F4B-4741-8D0E-0F7E1B19665D}"/>
            </c:ext>
          </c:extLst>
        </c:ser>
        <c:ser>
          <c:idx val="2"/>
          <c:order val="2"/>
          <c:tx>
            <c:strRef>
              <c:f>LHistory!$C$8</c:f>
              <c:strCache>
                <c:ptCount val="1"/>
                <c:pt idx="0">
                  <c:v>80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LHistory!$N$8:$U$8</c:f>
              <c:numCache>
                <c:formatCode>General</c:formatCode>
                <c:ptCount val="8"/>
                <c:pt idx="0">
                  <c:v>1</c:v>
                </c:pt>
                <c:pt idx="1">
                  <c:v>0.99960251035060088</c:v>
                </c:pt>
                <c:pt idx="2">
                  <c:v>0.99954788412441942</c:v>
                </c:pt>
                <c:pt idx="3">
                  <c:v>0.99947168111498674</c:v>
                </c:pt>
                <c:pt idx="4">
                  <c:v>0.99977946768060821</c:v>
                </c:pt>
                <c:pt idx="5">
                  <c:v>1.0000114068441064</c:v>
                </c:pt>
                <c:pt idx="6">
                  <c:v>0.99994760010526973</c:v>
                </c:pt>
                <c:pt idx="7">
                  <c:v>0.99997018166688312</c:v>
                </c:pt>
              </c:numCache>
            </c:numRef>
          </c:yVal>
          <c:smooth val="0"/>
          <c:extLst>
            <c:ext xmlns:c16="http://schemas.microsoft.com/office/drawing/2014/chart" uri="{C3380CC4-5D6E-409C-BE32-E72D297353CC}">
              <c16:uniqueId val="{00000002-1F4B-4741-8D0E-0F7E1B19665D}"/>
            </c:ext>
          </c:extLst>
        </c:ser>
        <c:ser>
          <c:idx val="3"/>
          <c:order val="3"/>
          <c:tx>
            <c:strRef>
              <c:f>LHistory!$C$9</c:f>
              <c:strCache>
                <c:ptCount val="1"/>
                <c:pt idx="0">
                  <c:v>70</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LHistory!$N$9:$U$9</c:f>
              <c:numCache>
                <c:formatCode>General</c:formatCode>
                <c:ptCount val="8"/>
                <c:pt idx="0">
                  <c:v>1</c:v>
                </c:pt>
                <c:pt idx="1">
                  <c:v>1.0004794393038954</c:v>
                </c:pt>
                <c:pt idx="2">
                  <c:v>1.0004254285848559</c:v>
                </c:pt>
                <c:pt idx="3">
                  <c:v>1.0003570462895639</c:v>
                </c:pt>
                <c:pt idx="4">
                  <c:v>1.0006748911465893</c:v>
                </c:pt>
                <c:pt idx="5">
                  <c:v>1.0009158200290273</c:v>
                </c:pt>
                <c:pt idx="6">
                  <c:v>1.0008086549647168</c:v>
                </c:pt>
                <c:pt idx="7">
                  <c:v>1.0008285585223637</c:v>
                </c:pt>
              </c:numCache>
            </c:numRef>
          </c:yVal>
          <c:smooth val="0"/>
          <c:extLst>
            <c:ext xmlns:c16="http://schemas.microsoft.com/office/drawing/2014/chart" uri="{C3380CC4-5D6E-409C-BE32-E72D297353CC}">
              <c16:uniqueId val="{00000003-1F4B-4741-8D0E-0F7E1B19665D}"/>
            </c:ext>
          </c:extLst>
        </c:ser>
        <c:ser>
          <c:idx val="4"/>
          <c:order val="4"/>
          <c:tx>
            <c:strRef>
              <c:f>LHistory!$C$10</c:f>
              <c:strCache>
                <c:ptCount val="1"/>
                <c:pt idx="0">
                  <c:v>60</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LHistory!$N$10:$U$10</c:f>
              <c:numCache>
                <c:formatCode>General</c:formatCode>
                <c:ptCount val="8"/>
                <c:pt idx="0">
                  <c:v>1</c:v>
                </c:pt>
                <c:pt idx="1">
                  <c:v>0.99981122561429447</c:v>
                </c:pt>
                <c:pt idx="2">
                  <c:v>0.99976499045985134</c:v>
                </c:pt>
                <c:pt idx="3">
                  <c:v>0.99969544958932699</c:v>
                </c:pt>
                <c:pt idx="4">
                  <c:v>1.0000287648054145</c:v>
                </c:pt>
                <c:pt idx="5">
                  <c:v>1.0002758037225044</c:v>
                </c:pt>
                <c:pt idx="6">
                  <c:v>1.0001182039474474</c:v>
                </c:pt>
                <c:pt idx="7">
                  <c:v>1.0001496981232649</c:v>
                </c:pt>
              </c:numCache>
            </c:numRef>
          </c:yVal>
          <c:smooth val="0"/>
          <c:extLst>
            <c:ext xmlns:c16="http://schemas.microsoft.com/office/drawing/2014/chart" uri="{C3380CC4-5D6E-409C-BE32-E72D297353CC}">
              <c16:uniqueId val="{00000004-1F4B-4741-8D0E-0F7E1B19665D}"/>
            </c:ext>
          </c:extLst>
        </c:ser>
        <c:ser>
          <c:idx val="5"/>
          <c:order val="5"/>
          <c:tx>
            <c:strRef>
              <c:f>LHistory!$C$11</c:f>
              <c:strCache>
                <c:ptCount val="1"/>
                <c:pt idx="0">
                  <c:v>50</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LHistory!$N$11:$U$11</c:f>
              <c:numCache>
                <c:formatCode>General</c:formatCode>
                <c:ptCount val="8"/>
                <c:pt idx="0">
                  <c:v>1</c:v>
                </c:pt>
                <c:pt idx="1">
                  <c:v>0.99992500442369847</c:v>
                </c:pt>
                <c:pt idx="2">
                  <c:v>0.99988741214881482</c:v>
                </c:pt>
                <c:pt idx="3">
                  <c:v>0.99980565350042483</c:v>
                </c:pt>
                <c:pt idx="4">
                  <c:v>1.0001610601427116</c:v>
                </c:pt>
                <c:pt idx="5">
                  <c:v>1.0004118246687055</c:v>
                </c:pt>
                <c:pt idx="6">
                  <c:v>1.0002123260237954</c:v>
                </c:pt>
                <c:pt idx="7">
                  <c:v>1.0002317095583984</c:v>
                </c:pt>
              </c:numCache>
            </c:numRef>
          </c:yVal>
          <c:smooth val="0"/>
          <c:extLst>
            <c:ext xmlns:c16="http://schemas.microsoft.com/office/drawing/2014/chart" uri="{C3380CC4-5D6E-409C-BE32-E72D297353CC}">
              <c16:uniqueId val="{00000005-1F4B-4741-8D0E-0F7E1B19665D}"/>
            </c:ext>
          </c:extLst>
        </c:ser>
        <c:ser>
          <c:idx val="6"/>
          <c:order val="6"/>
          <c:tx>
            <c:strRef>
              <c:f>LHistory!$C$12</c:f>
              <c:strCache>
                <c:ptCount val="1"/>
                <c:pt idx="0">
                  <c:v>40</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LHistory!$N$12:$U$12</c:f>
              <c:numCache>
                <c:formatCode>General</c:formatCode>
                <c:ptCount val="8"/>
                <c:pt idx="0">
                  <c:v>1</c:v>
                </c:pt>
                <c:pt idx="1">
                  <c:v>0.99986669803767225</c:v>
                </c:pt>
                <c:pt idx="2">
                  <c:v>0.99983226404830394</c:v>
                </c:pt>
                <c:pt idx="3">
                  <c:v>0.99975076135371188</c:v>
                </c:pt>
                <c:pt idx="4">
                  <c:v>1.0001168996188055</c:v>
                </c:pt>
                <c:pt idx="5">
                  <c:v>1.0003811944091487</c:v>
                </c:pt>
                <c:pt idx="6">
                  <c:v>1.0001274121315924</c:v>
                </c:pt>
                <c:pt idx="7">
                  <c:v>1.0001081085704964</c:v>
                </c:pt>
              </c:numCache>
            </c:numRef>
          </c:yVal>
          <c:smooth val="0"/>
          <c:extLst>
            <c:ext xmlns:c16="http://schemas.microsoft.com/office/drawing/2014/chart" uri="{C3380CC4-5D6E-409C-BE32-E72D297353CC}">
              <c16:uniqueId val="{00000006-1F4B-4741-8D0E-0F7E1B19665D}"/>
            </c:ext>
          </c:extLst>
        </c:ser>
        <c:ser>
          <c:idx val="7"/>
          <c:order val="7"/>
          <c:tx>
            <c:strRef>
              <c:f>LHistory!$C$13</c:f>
              <c:strCache>
                <c:ptCount val="1"/>
                <c:pt idx="0">
                  <c:v>30</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LHistory!$N$13:$U$13</c:f>
              <c:numCache>
                <c:formatCode>General</c:formatCode>
                <c:ptCount val="8"/>
                <c:pt idx="0">
                  <c:v>1</c:v>
                </c:pt>
                <c:pt idx="1">
                  <c:v>1.000120517755188</c:v>
                </c:pt>
                <c:pt idx="2">
                  <c:v>1.000084067889679</c:v>
                </c:pt>
                <c:pt idx="3">
                  <c:v>1.0000051963156258</c:v>
                </c:pt>
                <c:pt idx="4">
                  <c:v>1.0003930280246069</c:v>
                </c:pt>
                <c:pt idx="5">
                  <c:v>1.0006630211893368</c:v>
                </c:pt>
                <c:pt idx="6">
                  <c:v>1.0003566155032846</c:v>
                </c:pt>
                <c:pt idx="7">
                  <c:v>1.0003849935063467</c:v>
                </c:pt>
              </c:numCache>
            </c:numRef>
          </c:yVal>
          <c:smooth val="0"/>
          <c:extLst>
            <c:ext xmlns:c16="http://schemas.microsoft.com/office/drawing/2014/chart" uri="{C3380CC4-5D6E-409C-BE32-E72D297353CC}">
              <c16:uniqueId val="{00000007-1F4B-4741-8D0E-0F7E1B19665D}"/>
            </c:ext>
          </c:extLst>
        </c:ser>
        <c:ser>
          <c:idx val="8"/>
          <c:order val="8"/>
          <c:tx>
            <c:strRef>
              <c:f>LHistory!$C$14</c:f>
              <c:strCache>
                <c:ptCount val="1"/>
                <c:pt idx="0">
                  <c:v>20</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LHistory!$N$14:$U$14</c:f>
              <c:numCache>
                <c:formatCode>General</c:formatCode>
                <c:ptCount val="8"/>
                <c:pt idx="0">
                  <c:v>1</c:v>
                </c:pt>
                <c:pt idx="1">
                  <c:v>0.99986634074925473</c:v>
                </c:pt>
                <c:pt idx="2">
                  <c:v>0.99983246748678301</c:v>
                </c:pt>
                <c:pt idx="3">
                  <c:v>0.99974740331373579</c:v>
                </c:pt>
                <c:pt idx="4">
                  <c:v>1.0001550775387693</c:v>
                </c:pt>
                <c:pt idx="5">
                  <c:v>1.0004402201100551</c:v>
                </c:pt>
                <c:pt idx="6">
                  <c:v>1.0000811202344004</c:v>
                </c:pt>
                <c:pt idx="7">
                  <c:v>1.0001271830490341</c:v>
                </c:pt>
              </c:numCache>
            </c:numRef>
          </c:yVal>
          <c:smooth val="0"/>
          <c:extLst>
            <c:ext xmlns:c16="http://schemas.microsoft.com/office/drawing/2014/chart" uri="{C3380CC4-5D6E-409C-BE32-E72D297353CC}">
              <c16:uniqueId val="{00000008-1F4B-4741-8D0E-0F7E1B19665D}"/>
            </c:ext>
          </c:extLst>
        </c:ser>
        <c:ser>
          <c:idx val="9"/>
          <c:order val="9"/>
          <c:tx>
            <c:strRef>
              <c:f>LHistory!$C$15</c:f>
              <c:strCache>
                <c:ptCount val="1"/>
                <c:pt idx="0">
                  <c:v>10</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xVal>
            <c:numRef>
              <c:f>LHistory!$N$5:$U$5</c:f>
              <c:numCache>
                <c:formatCode>m/d/yyyy</c:formatCode>
                <c:ptCount val="8"/>
                <c:pt idx="0">
                  <c:v>33850</c:v>
                </c:pt>
                <c:pt idx="1">
                  <c:v>35523</c:v>
                </c:pt>
                <c:pt idx="2">
                  <c:v>37148</c:v>
                </c:pt>
                <c:pt idx="3">
                  <c:v>38883</c:v>
                </c:pt>
                <c:pt idx="4">
                  <c:v>40585</c:v>
                </c:pt>
                <c:pt idx="5">
                  <c:v>42236</c:v>
                </c:pt>
                <c:pt idx="6">
                  <c:v>43803</c:v>
                </c:pt>
                <c:pt idx="7">
                  <c:v>45646</c:v>
                </c:pt>
              </c:numCache>
            </c:numRef>
          </c:xVal>
          <c:yVal>
            <c:numRef>
              <c:f>LHistory!$N$15:$U$15</c:f>
              <c:numCache>
                <c:formatCode>General</c:formatCode>
                <c:ptCount val="8"/>
                <c:pt idx="0">
                  <c:v>1</c:v>
                </c:pt>
                <c:pt idx="1">
                  <c:v>0.99989548317761578</c:v>
                </c:pt>
                <c:pt idx="2">
                  <c:v>0.99985721787600601</c:v>
                </c:pt>
                <c:pt idx="3">
                  <c:v>0.99976867870673869</c:v>
                </c:pt>
                <c:pt idx="4">
                  <c:v>1.0001970443349752</c:v>
                </c:pt>
                <c:pt idx="5">
                  <c:v>1.0004926108374383</c:v>
                </c:pt>
                <c:pt idx="6">
                  <c:v>1.0000781033259478</c:v>
                </c:pt>
                <c:pt idx="7">
                  <c:v>1.0001086970713231</c:v>
                </c:pt>
              </c:numCache>
            </c:numRef>
          </c:yVal>
          <c:smooth val="0"/>
          <c:extLst>
            <c:ext xmlns:c16="http://schemas.microsoft.com/office/drawing/2014/chart" uri="{C3380CC4-5D6E-409C-BE32-E72D297353CC}">
              <c16:uniqueId val="{00000009-1F4B-4741-8D0E-0F7E1B19665D}"/>
            </c:ext>
          </c:extLst>
        </c:ser>
        <c:dLbls>
          <c:showLegendKey val="0"/>
          <c:showVal val="0"/>
          <c:showCatName val="0"/>
          <c:showSerName val="0"/>
          <c:showPercent val="0"/>
          <c:showBubbleSize val="0"/>
        </c:dLbls>
        <c:axId val="670281423"/>
        <c:axId val="670284783"/>
        <c:extLst>
          <c:ext xmlns:c15="http://schemas.microsoft.com/office/drawing/2012/chart" uri="{02D57815-91ED-43cb-92C2-25804820EDAC}">
            <c15:filteredScatterSeries>
              <c15:ser>
                <c:idx val="10"/>
                <c:order val="10"/>
                <c:tx>
                  <c:strRef>
                    <c:extLst>
                      <c:ext uri="{02D57815-91ED-43cb-92C2-25804820EDAC}">
                        <c15:formulaRef>
                          <c15:sqref>LHistory!$C$16</c15:sqref>
                        </c15:formulaRef>
                      </c:ext>
                    </c:extLst>
                    <c:strCache>
                      <c:ptCount val="1"/>
                      <c:pt idx="0">
                        <c:v>1000</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xVal>
                  <c:numRef>
                    <c:extLst>
                      <c:ex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uri="{02D57815-91ED-43cb-92C2-25804820EDAC}">
                        <c15:formulaRef>
                          <c15:sqref>LHistory!$N$16:$U$16</c15:sqref>
                        </c15:formulaRef>
                      </c:ext>
                    </c:extLst>
                    <c:numCache>
                      <c:formatCode>General</c:formatCode>
                      <c:ptCount val="8"/>
                      <c:pt idx="0">
                        <c:v>1</c:v>
                      </c:pt>
                      <c:pt idx="1">
                        <c:v>1.0010784353573687</c:v>
                      </c:pt>
                      <c:pt idx="2">
                        <c:v>1.0002144713557508</c:v>
                      </c:pt>
                      <c:pt idx="3">
                        <c:v>1.00010161108754</c:v>
                      </c:pt>
                      <c:pt idx="4">
                        <c:v>0.99993807106598986</c:v>
                      </c:pt>
                      <c:pt idx="5">
                        <c:v>1.0002477157360405</c:v>
                      </c:pt>
                      <c:pt idx="6">
                        <c:v>0.99996629343783949</c:v>
                      </c:pt>
                      <c:pt idx="7">
                        <c:v>1.0000302850001501</c:v>
                      </c:pt>
                    </c:numCache>
                  </c:numRef>
                </c:yVal>
                <c:smooth val="0"/>
                <c:extLst>
                  <c:ext xmlns:c16="http://schemas.microsoft.com/office/drawing/2014/chart" uri="{C3380CC4-5D6E-409C-BE32-E72D297353CC}">
                    <c16:uniqueId val="{0000000A-1F4B-4741-8D0E-0F7E1B19665D}"/>
                  </c:ext>
                </c:extLst>
              </c15:ser>
            </c15:filteredScatterSeries>
            <c15:filteredScatterSeries>
              <c15:ser>
                <c:idx val="11"/>
                <c:order val="11"/>
                <c:tx>
                  <c:strRef>
                    <c:extLst>
                      <c:ext xmlns:c15="http://schemas.microsoft.com/office/drawing/2012/chart" uri="{02D57815-91ED-43cb-92C2-25804820EDAC}">
                        <c15:formulaRef>
                          <c15:sqref>LHistory!$C$17</c15:sqref>
                        </c15:formulaRef>
                      </c:ext>
                    </c:extLst>
                    <c:strCache>
                      <c:ptCount val="1"/>
                      <c:pt idx="0">
                        <c:v>900</c:v>
                      </c:pt>
                    </c:strCache>
                  </c:strRef>
                </c:tx>
                <c:spPr>
                  <a:ln w="19050"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LHistory!$N$17:$U$17</c15:sqref>
                        </c15:formulaRef>
                      </c:ext>
                    </c:extLst>
                    <c:numCache>
                      <c:formatCode>General</c:formatCode>
                      <c:ptCount val="8"/>
                      <c:pt idx="0">
                        <c:v>1</c:v>
                      </c:pt>
                      <c:pt idx="1">
                        <c:v>1.0000682331035813</c:v>
                      </c:pt>
                      <c:pt idx="2">
                        <c:v>0.99931271867554017</c:v>
                      </c:pt>
                      <c:pt idx="3">
                        <c:v>0.99918958445371131</c:v>
                      </c:pt>
                      <c:pt idx="4">
                        <c:v>0.99912627986348124</c:v>
                      </c:pt>
                      <c:pt idx="5">
                        <c:v>0.99929465301478948</c:v>
                      </c:pt>
                      <c:pt idx="6">
                        <c:v>0.99905898095998602</c:v>
                      </c:pt>
                      <c:pt idx="7">
                        <c:v>0.99911804655682068</c:v>
                      </c:pt>
                    </c:numCache>
                  </c:numRef>
                </c:yVal>
                <c:smooth val="0"/>
                <c:extLst>
                  <c:ext xmlns:c16="http://schemas.microsoft.com/office/drawing/2014/chart" uri="{C3380CC4-5D6E-409C-BE32-E72D297353CC}">
                    <c16:uniqueId val="{0000000B-1F4B-4741-8D0E-0F7E1B19665D}"/>
                  </c:ext>
                </c:extLst>
              </c15:ser>
            </c15:filteredScatterSeries>
            <c15:filteredScatterSeries>
              <c15:ser>
                <c:idx val="12"/>
                <c:order val="12"/>
                <c:tx>
                  <c:strRef>
                    <c:extLst>
                      <c:ext xmlns:c15="http://schemas.microsoft.com/office/drawing/2012/chart" uri="{02D57815-91ED-43cb-92C2-25804820EDAC}">
                        <c15:formulaRef>
                          <c15:sqref>LHistory!$C$18</c15:sqref>
                        </c15:formulaRef>
                      </c:ext>
                    </c:extLst>
                    <c:strCache>
                      <c:ptCount val="1"/>
                      <c:pt idx="0">
                        <c:v>800</c:v>
                      </c:pt>
                    </c:strCache>
                  </c:strRef>
                </c:tx>
                <c:spPr>
                  <a:ln w="19050"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LHistory!$N$18:$U$18</c15:sqref>
                        </c15:formulaRef>
                      </c:ext>
                    </c:extLst>
                    <c:numCache>
                      <c:formatCode>General</c:formatCode>
                      <c:ptCount val="8"/>
                      <c:pt idx="0">
                        <c:v>1</c:v>
                      </c:pt>
                      <c:pt idx="1">
                        <c:v>1.0009087831245977</c:v>
                      </c:pt>
                      <c:pt idx="2">
                        <c:v>1.0002469911834135</c:v>
                      </c:pt>
                      <c:pt idx="3">
                        <c:v>1.0001228723192235</c:v>
                      </c:pt>
                      <c:pt idx="4">
                        <c:v>1.000109833971903</c:v>
                      </c:pt>
                      <c:pt idx="5">
                        <c:v>1.0002911877394636</c:v>
                      </c:pt>
                      <c:pt idx="6">
                        <c:v>1.000044664102306</c:v>
                      </c:pt>
                      <c:pt idx="7">
                        <c:v>1.0001082906426144</c:v>
                      </c:pt>
                    </c:numCache>
                  </c:numRef>
                </c:yVal>
                <c:smooth val="0"/>
                <c:extLst>
                  <c:ext xmlns:c16="http://schemas.microsoft.com/office/drawing/2014/chart" uri="{C3380CC4-5D6E-409C-BE32-E72D297353CC}">
                    <c16:uniqueId val="{0000000C-1F4B-4741-8D0E-0F7E1B19665D}"/>
                  </c:ext>
                </c:extLst>
              </c15:ser>
            </c15:filteredScatterSeries>
            <c15:filteredScatterSeries>
              <c15:ser>
                <c:idx val="13"/>
                <c:order val="13"/>
                <c:tx>
                  <c:strRef>
                    <c:extLst>
                      <c:ext xmlns:c15="http://schemas.microsoft.com/office/drawing/2012/chart" uri="{02D57815-91ED-43cb-92C2-25804820EDAC}">
                        <c15:formulaRef>
                          <c15:sqref>LHistory!$C$19</c15:sqref>
                        </c15:formulaRef>
                      </c:ext>
                    </c:extLst>
                    <c:strCache>
                      <c:ptCount val="1"/>
                      <c:pt idx="0">
                        <c:v>700</c:v>
                      </c:pt>
                    </c:strCache>
                  </c:strRef>
                </c:tx>
                <c:spPr>
                  <a:ln w="19050"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LHistory!$N$19:$U$19</c15:sqref>
                        </c15:formulaRef>
                      </c:ext>
                    </c:extLst>
                    <c:numCache>
                      <c:formatCode>General</c:formatCode>
                      <c:ptCount val="8"/>
                      <c:pt idx="0">
                        <c:v>1</c:v>
                      </c:pt>
                      <c:pt idx="1">
                        <c:v>1.0004166496671538</c:v>
                      </c:pt>
                      <c:pt idx="2">
                        <c:v>0.9998191521425831</c:v>
                      </c:pt>
                      <c:pt idx="3">
                        <c:v>0.99971753829979138</c:v>
                      </c:pt>
                      <c:pt idx="4">
                        <c:v>0.99972898550724631</c:v>
                      </c:pt>
                      <c:pt idx="5">
                        <c:v>0.99989710144927535</c:v>
                      </c:pt>
                      <c:pt idx="6">
                        <c:v>0.99969584056712213</c:v>
                      </c:pt>
                      <c:pt idx="7">
                        <c:v>0.99976500364460819</c:v>
                      </c:pt>
                    </c:numCache>
                  </c:numRef>
                </c:yVal>
                <c:smooth val="0"/>
                <c:extLst>
                  <c:ext xmlns:c16="http://schemas.microsoft.com/office/drawing/2014/chart" uri="{C3380CC4-5D6E-409C-BE32-E72D297353CC}">
                    <c16:uniqueId val="{0000000D-1F4B-4741-8D0E-0F7E1B19665D}"/>
                  </c:ext>
                </c:extLst>
              </c15:ser>
            </c15:filteredScatterSeries>
            <c15:filteredScatterSeries>
              <c15:ser>
                <c:idx val="14"/>
                <c:order val="14"/>
                <c:tx>
                  <c:strRef>
                    <c:extLst>
                      <c:ext xmlns:c15="http://schemas.microsoft.com/office/drawing/2012/chart" uri="{02D57815-91ED-43cb-92C2-25804820EDAC}">
                        <c15:formulaRef>
                          <c15:sqref>LHistory!$C$20</c15:sqref>
                        </c15:formulaRef>
                      </c:ext>
                    </c:extLst>
                    <c:strCache>
                      <c:ptCount val="1"/>
                      <c:pt idx="0">
                        <c:v>600</c:v>
                      </c:pt>
                    </c:strCache>
                  </c:strRef>
                </c:tx>
                <c:spPr>
                  <a:ln w="19050"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LHistory!$N$20:$U$20</c15:sqref>
                        </c15:formulaRef>
                      </c:ext>
                    </c:extLst>
                    <c:numCache>
                      <c:formatCode>General</c:formatCode>
                      <c:ptCount val="8"/>
                      <c:pt idx="0">
                        <c:v>1</c:v>
                      </c:pt>
                      <c:pt idx="1">
                        <c:v>1.0012106919355677</c:v>
                      </c:pt>
                      <c:pt idx="2">
                        <c:v>1.0006881095857518</c:v>
                      </c:pt>
                      <c:pt idx="3">
                        <c:v>1.0006051964586355</c:v>
                      </c:pt>
                      <c:pt idx="4">
                        <c:v>1.0006081081081082</c:v>
                      </c:pt>
                      <c:pt idx="5">
                        <c:v>1.0007956081081082</c:v>
                      </c:pt>
                      <c:pt idx="6">
                        <c:v>1.000618322537759</c:v>
                      </c:pt>
                      <c:pt idx="7">
                        <c:v>1.0006734214108897</c:v>
                      </c:pt>
                    </c:numCache>
                  </c:numRef>
                </c:yVal>
                <c:smooth val="0"/>
                <c:extLst>
                  <c:ext xmlns:c16="http://schemas.microsoft.com/office/drawing/2014/chart" uri="{C3380CC4-5D6E-409C-BE32-E72D297353CC}">
                    <c16:uniqueId val="{0000000E-1F4B-4741-8D0E-0F7E1B19665D}"/>
                  </c:ext>
                </c:extLst>
              </c15:ser>
            </c15:filteredScatterSeries>
            <c15:filteredScatterSeries>
              <c15:ser>
                <c:idx val="15"/>
                <c:order val="15"/>
                <c:tx>
                  <c:strRef>
                    <c:extLst>
                      <c:ext xmlns:c15="http://schemas.microsoft.com/office/drawing/2012/chart" uri="{02D57815-91ED-43cb-92C2-25804820EDAC}">
                        <c15:formulaRef>
                          <c15:sqref>LHistory!$C$21</c15:sqref>
                        </c15:formulaRef>
                      </c:ext>
                    </c:extLst>
                    <c:strCache>
                      <c:ptCount val="1"/>
                      <c:pt idx="0">
                        <c:v>500</c:v>
                      </c:pt>
                    </c:strCache>
                  </c:strRef>
                </c:tx>
                <c:spPr>
                  <a:ln w="19050"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LHistory!$N$21:$U$21</c15:sqref>
                        </c15:formulaRef>
                      </c:ext>
                    </c:extLst>
                    <c:numCache>
                      <c:formatCode>General</c:formatCode>
                      <c:ptCount val="8"/>
                      <c:pt idx="0">
                        <c:v>1</c:v>
                      </c:pt>
                      <c:pt idx="1">
                        <c:v>1.0003495210906386</c:v>
                      </c:pt>
                      <c:pt idx="2">
                        <c:v>0.99988576169085785</c:v>
                      </c:pt>
                      <c:pt idx="3">
                        <c:v>0.9998108645490128</c:v>
                      </c:pt>
                      <c:pt idx="4">
                        <c:v>0.99981810832659657</c:v>
                      </c:pt>
                      <c:pt idx="5">
                        <c:v>1.0000060630557801</c:v>
                      </c:pt>
                      <c:pt idx="6">
                        <c:v>0.9998376251409169</c:v>
                      </c:pt>
                      <c:pt idx="7">
                        <c:v>0.99988919353303096</c:v>
                      </c:pt>
                    </c:numCache>
                  </c:numRef>
                </c:yVal>
                <c:smooth val="0"/>
                <c:extLst>
                  <c:ext xmlns:c16="http://schemas.microsoft.com/office/drawing/2014/chart" uri="{C3380CC4-5D6E-409C-BE32-E72D297353CC}">
                    <c16:uniqueId val="{0000000F-1F4B-4741-8D0E-0F7E1B19665D}"/>
                  </c:ext>
                </c:extLst>
              </c15:ser>
            </c15:filteredScatterSeries>
            <c15:filteredScatterSeries>
              <c15:ser>
                <c:idx val="16"/>
                <c:order val="16"/>
                <c:tx>
                  <c:strRef>
                    <c:extLst>
                      <c:ext xmlns:c15="http://schemas.microsoft.com/office/drawing/2012/chart" uri="{02D57815-91ED-43cb-92C2-25804820EDAC}">
                        <c15:formulaRef>
                          <c15:sqref>LHistory!$C$22</c15:sqref>
                        </c15:formulaRef>
                      </c:ext>
                    </c:extLst>
                    <c:strCache>
                      <c:ptCount val="1"/>
                      <c:pt idx="0">
                        <c:v>400</c:v>
                      </c:pt>
                    </c:strCache>
                  </c:strRef>
                </c:tx>
                <c:spPr>
                  <a:ln w="19050"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LHistory!$N$22:$U$22</c15:sqref>
                        </c15:formulaRef>
                      </c:ext>
                    </c:extLst>
                    <c:numCache>
                      <c:formatCode>General</c:formatCode>
                      <c:ptCount val="8"/>
                      <c:pt idx="0">
                        <c:v>1</c:v>
                      </c:pt>
                      <c:pt idx="1">
                        <c:v>1.0002843628552982</c:v>
                      </c:pt>
                      <c:pt idx="2">
                        <c:v>0.99989697890233831</c:v>
                      </c:pt>
                      <c:pt idx="3">
                        <c:v>0.99982425826246024</c:v>
                      </c:pt>
                      <c:pt idx="4">
                        <c:v>0.99982706766917284</c:v>
                      </c:pt>
                      <c:pt idx="5">
                        <c:v>1.0000200501253131</c:v>
                      </c:pt>
                      <c:pt idx="6">
                        <c:v>0.99989596360487065</c:v>
                      </c:pt>
                      <c:pt idx="7">
                        <c:v>0.99993459753703828</c:v>
                      </c:pt>
                    </c:numCache>
                  </c:numRef>
                </c:yVal>
                <c:smooth val="0"/>
                <c:extLst>
                  <c:ext xmlns:c16="http://schemas.microsoft.com/office/drawing/2014/chart" uri="{C3380CC4-5D6E-409C-BE32-E72D297353CC}">
                    <c16:uniqueId val="{00000010-1F4B-4741-8D0E-0F7E1B19665D}"/>
                  </c:ext>
                </c:extLst>
              </c15:ser>
            </c15:filteredScatterSeries>
            <c15:filteredScatterSeries>
              <c15:ser>
                <c:idx val="17"/>
                <c:order val="17"/>
                <c:tx>
                  <c:strRef>
                    <c:extLst>
                      <c:ext xmlns:c15="http://schemas.microsoft.com/office/drawing/2012/chart" uri="{02D57815-91ED-43cb-92C2-25804820EDAC}">
                        <c15:formulaRef>
                          <c15:sqref>LHistory!$C$23</c15:sqref>
                        </c15:formulaRef>
                      </c:ext>
                    </c:extLst>
                    <c:strCache>
                      <c:ptCount val="1"/>
                      <c:pt idx="0">
                        <c:v>300</c:v>
                      </c:pt>
                    </c:strCache>
                  </c:strRef>
                </c:tx>
                <c:spPr>
                  <a:ln w="19050"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LHistory!$N$23:$U$23</c15:sqref>
                        </c15:formulaRef>
                      </c:ext>
                    </c:extLst>
                    <c:numCache>
                      <c:formatCode>General</c:formatCode>
                      <c:ptCount val="8"/>
                      <c:pt idx="0">
                        <c:v>1</c:v>
                      </c:pt>
                      <c:pt idx="1">
                        <c:v>1.0000958223642578</c:v>
                      </c:pt>
                      <c:pt idx="2">
                        <c:v>0.99975526127247316</c:v>
                      </c:pt>
                      <c:pt idx="3">
                        <c:v>0.99969626017773117</c:v>
                      </c:pt>
                      <c:pt idx="4">
                        <c:v>0.99968791064388973</c:v>
                      </c:pt>
                      <c:pt idx="5">
                        <c:v>0.99990473061760843</c:v>
                      </c:pt>
                      <c:pt idx="6">
                        <c:v>0.99979784203599642</c:v>
                      </c:pt>
                      <c:pt idx="7">
                        <c:v>0.99985473287009075</c:v>
                      </c:pt>
                    </c:numCache>
                  </c:numRef>
                </c:yVal>
                <c:smooth val="0"/>
                <c:extLst>
                  <c:ext xmlns:c16="http://schemas.microsoft.com/office/drawing/2014/chart" uri="{C3380CC4-5D6E-409C-BE32-E72D297353CC}">
                    <c16:uniqueId val="{00000011-1F4B-4741-8D0E-0F7E1B19665D}"/>
                  </c:ext>
                </c:extLst>
              </c15:ser>
            </c15:filteredScatterSeries>
            <c15:filteredScatterSeries>
              <c15:ser>
                <c:idx val="18"/>
                <c:order val="18"/>
                <c:tx>
                  <c:strRef>
                    <c:extLst>
                      <c:ext xmlns:c15="http://schemas.microsoft.com/office/drawing/2012/chart" uri="{02D57815-91ED-43cb-92C2-25804820EDAC}">
                        <c15:formulaRef>
                          <c15:sqref>LHistory!$C$24</c15:sqref>
                        </c15:formulaRef>
                      </c:ext>
                    </c:extLst>
                    <c:strCache>
                      <c:ptCount val="1"/>
                      <c:pt idx="0">
                        <c:v>200</c:v>
                      </c:pt>
                    </c:strCache>
                  </c:strRef>
                </c:tx>
                <c:spPr>
                  <a:ln w="19050"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LHistory!$N$24:$U$24</c15:sqref>
                        </c15:formulaRef>
                      </c:ext>
                    </c:extLst>
                    <c:numCache>
                      <c:formatCode>General</c:formatCode>
                      <c:ptCount val="8"/>
                      <c:pt idx="0">
                        <c:v>1</c:v>
                      </c:pt>
                      <c:pt idx="1">
                        <c:v>1.0002867367700339</c:v>
                      </c:pt>
                      <c:pt idx="2">
                        <c:v>0.99998933117092481</c:v>
                      </c:pt>
                      <c:pt idx="3">
                        <c:v>0.99996562422867774</c:v>
                      </c:pt>
                      <c:pt idx="4">
                        <c:v>0.99995666827154561</c:v>
                      </c:pt>
                      <c:pt idx="5">
                        <c:v>1.0001588830043333</c:v>
                      </c:pt>
                      <c:pt idx="6">
                        <c:v>1.0000863758075498</c:v>
                      </c:pt>
                      <c:pt idx="7">
                        <c:v>1.0001403794176835</c:v>
                      </c:pt>
                    </c:numCache>
                  </c:numRef>
                </c:yVal>
                <c:smooth val="0"/>
                <c:extLst>
                  <c:ext xmlns:c16="http://schemas.microsoft.com/office/drawing/2014/chart" uri="{C3380CC4-5D6E-409C-BE32-E72D297353CC}">
                    <c16:uniqueId val="{00000012-1F4B-4741-8D0E-0F7E1B19665D}"/>
                  </c:ext>
                </c:extLst>
              </c15:ser>
            </c15:filteredScatterSeries>
            <c15:filteredScatterSeries>
              <c15:ser>
                <c:idx val="19"/>
                <c:order val="19"/>
                <c:tx>
                  <c:strRef>
                    <c:extLst>
                      <c:ext xmlns:c15="http://schemas.microsoft.com/office/drawing/2012/chart" uri="{02D57815-91ED-43cb-92C2-25804820EDAC}">
                        <c15:formulaRef>
                          <c15:sqref>LHistory!$C$25</c15:sqref>
                        </c15:formulaRef>
                      </c:ext>
                    </c:extLst>
                    <c:strCache>
                      <c:ptCount val="1"/>
                      <c:pt idx="0">
                        <c:v>100</c:v>
                      </c:pt>
                    </c:strCache>
                  </c:strRef>
                </c:tx>
                <c:spPr>
                  <a:ln w="19050"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xVal>
                  <c:numRef>
                    <c:extLst>
                      <c:ext xmlns:c15="http://schemas.microsoft.com/office/drawing/2012/chart" uri="{02D57815-91ED-43cb-92C2-25804820EDAC}">
                        <c15:formulaRef>
                          <c15:sqref>LHistory!$N$5:$U$5</c15:sqref>
                        </c15:formulaRef>
                      </c:ext>
                    </c:extLst>
                    <c:numCache>
                      <c:formatCode>m/d/yyyy</c:formatCode>
                      <c:ptCount val="8"/>
                      <c:pt idx="0">
                        <c:v>33850</c:v>
                      </c:pt>
                      <c:pt idx="1">
                        <c:v>35523</c:v>
                      </c:pt>
                      <c:pt idx="2">
                        <c:v>37148</c:v>
                      </c:pt>
                      <c:pt idx="3">
                        <c:v>38883</c:v>
                      </c:pt>
                      <c:pt idx="4">
                        <c:v>40585</c:v>
                      </c:pt>
                      <c:pt idx="5">
                        <c:v>42236</c:v>
                      </c:pt>
                      <c:pt idx="6">
                        <c:v>43803</c:v>
                      </c:pt>
                      <c:pt idx="7">
                        <c:v>45646</c:v>
                      </c:pt>
                    </c:numCache>
                  </c:numRef>
                </c:xVal>
                <c:yVal>
                  <c:numRef>
                    <c:extLst>
                      <c:ext xmlns:c15="http://schemas.microsoft.com/office/drawing/2012/chart" uri="{02D57815-91ED-43cb-92C2-25804820EDAC}">
                        <c15:formulaRef>
                          <c15:sqref>LHistory!$N$25:$U$25</c15:sqref>
                        </c15:formulaRef>
                      </c:ext>
                    </c:extLst>
                    <c:numCache>
                      <c:formatCode>General</c:formatCode>
                      <c:ptCount val="8"/>
                      <c:pt idx="0">
                        <c:v>1</c:v>
                      </c:pt>
                      <c:pt idx="1">
                        <c:v>1.000267424131819</c:v>
                      </c:pt>
                      <c:pt idx="2">
                        <c:v>1.000027919414435</c:v>
                      </c:pt>
                      <c:pt idx="3">
                        <c:v>1.0000379211336454</c:v>
                      </c:pt>
                      <c:pt idx="4">
                        <c:v>1</c:v>
                      </c:pt>
                      <c:pt idx="5">
                        <c:v>1.0002213666987487</c:v>
                      </c:pt>
                      <c:pt idx="6">
                        <c:v>1.0001146376019316</c:v>
                      </c:pt>
                      <c:pt idx="7">
                        <c:v>1.0001638021004784</c:v>
                      </c:pt>
                    </c:numCache>
                  </c:numRef>
                </c:yVal>
                <c:smooth val="0"/>
                <c:extLst>
                  <c:ext xmlns:c16="http://schemas.microsoft.com/office/drawing/2014/chart" uri="{C3380CC4-5D6E-409C-BE32-E72D297353CC}">
                    <c16:uniqueId val="{00000013-1F4B-4741-8D0E-0F7E1B19665D}"/>
                  </c:ext>
                </c:extLst>
              </c15:ser>
            </c15:filteredScatterSeries>
          </c:ext>
        </c:extLst>
      </c:scatterChart>
      <c:valAx>
        <c:axId val="670281423"/>
        <c:scaling>
          <c:orientation val="minMax"/>
          <c:min val="33700"/>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4783"/>
        <c:crosses val="autoZero"/>
        <c:crossBetween val="midCat"/>
      </c:valAx>
      <c:valAx>
        <c:axId val="670284783"/>
        <c:scaling>
          <c:orientation val="minMax"/>
          <c:max val="1.0034999999999998"/>
          <c:min val="0.99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2814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22</xdr:col>
      <xdr:colOff>47230</xdr:colOff>
      <xdr:row>0</xdr:row>
      <xdr:rowOff>0</xdr:rowOff>
    </xdr:from>
    <xdr:to>
      <xdr:col>33</xdr:col>
      <xdr:colOff>186189</xdr:colOff>
      <xdr:row>32</xdr:row>
      <xdr:rowOff>141120</xdr:rowOff>
    </xdr:to>
    <xdr:pic>
      <xdr:nvPicPr>
        <xdr:cNvPr id="2" name="Image 2">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0891076" y="0"/>
          <a:ext cx="6506056" cy="6061274"/>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404812</xdr:colOff>
      <xdr:row>5</xdr:row>
      <xdr:rowOff>47625</xdr:rowOff>
    </xdr:from>
    <xdr:to>
      <xdr:col>19</xdr:col>
      <xdr:colOff>100012</xdr:colOff>
      <xdr:row>22</xdr:row>
      <xdr:rowOff>38100</xdr:rowOff>
    </xdr:to>
    <xdr:graphicFrame macro="">
      <xdr:nvGraphicFramePr>
        <xdr:cNvPr id="2" name="Chart 1">
          <a:extLst>
            <a:ext uri="{FF2B5EF4-FFF2-40B4-BE49-F238E27FC236}">
              <a16:creationId xmlns:a16="http://schemas.microsoft.com/office/drawing/2014/main" id="{F41B2028-BBE5-7070-8851-556C273B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538162</xdr:colOff>
      <xdr:row>33</xdr:row>
      <xdr:rowOff>76200</xdr:rowOff>
    </xdr:from>
    <xdr:to>
      <xdr:col>19</xdr:col>
      <xdr:colOff>233362</xdr:colOff>
      <xdr:row>50</xdr:row>
      <xdr:rowOff>66675</xdr:rowOff>
    </xdr:to>
    <xdr:graphicFrame macro="">
      <xdr:nvGraphicFramePr>
        <xdr:cNvPr id="3" name="Chart 2">
          <a:extLst>
            <a:ext uri="{FF2B5EF4-FFF2-40B4-BE49-F238E27FC236}">
              <a16:creationId xmlns:a16="http://schemas.microsoft.com/office/drawing/2014/main" id="{BA30C6A8-D7C3-BAB3-0C19-88AA84D15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504825</xdr:colOff>
      <xdr:row>57</xdr:row>
      <xdr:rowOff>85725</xdr:rowOff>
    </xdr:from>
    <xdr:to>
      <xdr:col>20</xdr:col>
      <xdr:colOff>200025</xdr:colOff>
      <xdr:row>93</xdr:row>
      <xdr:rowOff>28575</xdr:rowOff>
    </xdr:to>
    <xdr:graphicFrame macro="">
      <xdr:nvGraphicFramePr>
        <xdr:cNvPr id="2" name="Chart 1">
          <a:extLst>
            <a:ext uri="{FF2B5EF4-FFF2-40B4-BE49-F238E27FC236}">
              <a16:creationId xmlns:a16="http://schemas.microsoft.com/office/drawing/2014/main" id="{2E73F59F-93BE-FFDD-4687-C21D46935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276225</xdr:colOff>
      <xdr:row>35</xdr:row>
      <xdr:rowOff>9525</xdr:rowOff>
    </xdr:from>
    <xdr:to>
      <xdr:col>19</xdr:col>
      <xdr:colOff>581025</xdr:colOff>
      <xdr:row>52</xdr:row>
      <xdr:rowOff>0</xdr:rowOff>
    </xdr:to>
    <xdr:graphicFrame macro="">
      <xdr:nvGraphicFramePr>
        <xdr:cNvPr id="3" name="Chart 2">
          <a:extLst>
            <a:ext uri="{FF2B5EF4-FFF2-40B4-BE49-F238E27FC236}">
              <a16:creationId xmlns:a16="http://schemas.microsoft.com/office/drawing/2014/main" id="{5C5B552C-0667-5512-C687-346ADE2CB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97</xdr:row>
      <xdr:rowOff>0</xdr:rowOff>
    </xdr:from>
    <xdr:to>
      <xdr:col>20</xdr:col>
      <xdr:colOff>304800</xdr:colOff>
      <xdr:row>132</xdr:row>
      <xdr:rowOff>104775</xdr:rowOff>
    </xdr:to>
    <xdr:graphicFrame macro="">
      <xdr:nvGraphicFramePr>
        <xdr:cNvPr id="6" name="Chart 5">
          <a:extLst>
            <a:ext uri="{FF2B5EF4-FFF2-40B4-BE49-F238E27FC236}">
              <a16:creationId xmlns:a16="http://schemas.microsoft.com/office/drawing/2014/main" id="{07663621-720F-457C-A41A-29CD21EA2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214312</xdr:colOff>
      <xdr:row>142</xdr:row>
      <xdr:rowOff>28575</xdr:rowOff>
    </xdr:from>
    <xdr:to>
      <xdr:col>22</xdr:col>
      <xdr:colOff>519112</xdr:colOff>
      <xdr:row>159</xdr:row>
      <xdr:rowOff>19050</xdr:rowOff>
    </xdr:to>
    <xdr:graphicFrame macro="">
      <xdr:nvGraphicFramePr>
        <xdr:cNvPr id="4" name="Chart 3">
          <a:extLst>
            <a:ext uri="{FF2B5EF4-FFF2-40B4-BE49-F238E27FC236}">
              <a16:creationId xmlns:a16="http://schemas.microsoft.com/office/drawing/2014/main" id="{EDE32861-34CE-C91F-D784-9C5AB567D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304799</xdr:colOff>
      <xdr:row>34</xdr:row>
      <xdr:rowOff>14286</xdr:rowOff>
    </xdr:from>
    <xdr:to>
      <xdr:col>20</xdr:col>
      <xdr:colOff>495300</xdr:colOff>
      <xdr:row>68</xdr:row>
      <xdr:rowOff>57149</xdr:rowOff>
    </xdr:to>
    <xdr:graphicFrame macro="">
      <xdr:nvGraphicFramePr>
        <xdr:cNvPr id="4" name="Chart 3">
          <a:extLst>
            <a:ext uri="{FF2B5EF4-FFF2-40B4-BE49-F238E27FC236}">
              <a16:creationId xmlns:a16="http://schemas.microsoft.com/office/drawing/2014/main" id="{FABA7E24-D7F0-5D91-4359-AFF57E5693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72</xdr:row>
      <xdr:rowOff>0</xdr:rowOff>
    </xdr:from>
    <xdr:to>
      <xdr:col>20</xdr:col>
      <xdr:colOff>190501</xdr:colOff>
      <xdr:row>106</xdr:row>
      <xdr:rowOff>42863</xdr:rowOff>
    </xdr:to>
    <xdr:graphicFrame macro="">
      <xdr:nvGraphicFramePr>
        <xdr:cNvPr id="2" name="Chart 1">
          <a:extLst>
            <a:ext uri="{FF2B5EF4-FFF2-40B4-BE49-F238E27FC236}">
              <a16:creationId xmlns:a16="http://schemas.microsoft.com/office/drawing/2014/main" id="{0FF7BC69-4DE6-417D-9B62-072A7627F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72</xdr:row>
      <xdr:rowOff>0</xdr:rowOff>
    </xdr:from>
    <xdr:to>
      <xdr:col>40</xdr:col>
      <xdr:colOff>9526</xdr:colOff>
      <xdr:row>106</xdr:row>
      <xdr:rowOff>42863</xdr:rowOff>
    </xdr:to>
    <xdr:graphicFrame macro="">
      <xdr:nvGraphicFramePr>
        <xdr:cNvPr id="7" name="Chart 6">
          <a:extLst>
            <a:ext uri="{FF2B5EF4-FFF2-40B4-BE49-F238E27FC236}">
              <a16:creationId xmlns:a16="http://schemas.microsoft.com/office/drawing/2014/main" id="{78330013-B36C-45F6-94EA-537FB4C7F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Overrid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zoomScaleNormal="100" workbookViewId="0"/>
  </sheetViews>
  <sheetFormatPr defaultColWidth="8.7109375" defaultRowHeight="12.75" x14ac:dyDescent="0.2"/>
  <cols>
    <col min="1" max="1" width="101.140625" customWidth="1"/>
  </cols>
  <sheetData>
    <row r="1" spans="1:1" x14ac:dyDescent="0.2">
      <c r="A1" s="1">
        <v>44041</v>
      </c>
    </row>
    <row r="3" spans="1:1" ht="38.25" x14ac:dyDescent="0.2">
      <c r="A3" s="2" t="s">
        <v>0</v>
      </c>
    </row>
    <row r="4" spans="1:1" x14ac:dyDescent="0.2">
      <c r="A4" s="3"/>
    </row>
    <row r="5" spans="1:1" ht="63.75" x14ac:dyDescent="0.2">
      <c r="A5" s="2" t="s">
        <v>1</v>
      </c>
    </row>
    <row r="7" spans="1:1" ht="25.5" x14ac:dyDescent="0.2">
      <c r="A7" s="2" t="s">
        <v>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2"/>
  <sheetViews>
    <sheetView zoomScaleNormal="100" workbookViewId="0">
      <selection activeCell="E31" sqref="E31"/>
    </sheetView>
  </sheetViews>
  <sheetFormatPr defaultColWidth="8.7109375" defaultRowHeight="12.75" x14ac:dyDescent="0.2"/>
  <cols>
    <col min="1" max="1" width="23.85546875" customWidth="1"/>
    <col min="2" max="2" width="20.85546875" customWidth="1"/>
    <col min="4" max="4" width="17.28515625" customWidth="1"/>
    <col min="5" max="5" width="20.7109375" customWidth="1"/>
    <col min="6" max="6" width="12.7109375" customWidth="1"/>
    <col min="7" max="7" width="13.85546875" customWidth="1"/>
    <col min="10" max="10" width="11.7109375" customWidth="1"/>
    <col min="13" max="13" width="11.28515625" customWidth="1"/>
  </cols>
  <sheetData>
    <row r="1" spans="1:18" ht="15.75" x14ac:dyDescent="0.25">
      <c r="A1" s="4" t="s">
        <v>3</v>
      </c>
    </row>
    <row r="2" spans="1:18" x14ac:dyDescent="0.2">
      <c r="A2" s="5">
        <v>1</v>
      </c>
      <c r="B2" s="6">
        <v>2</v>
      </c>
      <c r="C2" s="5"/>
      <c r="D2" s="5">
        <v>3</v>
      </c>
      <c r="E2" s="6">
        <v>4</v>
      </c>
      <c r="F2" s="5">
        <v>5</v>
      </c>
      <c r="G2" s="6">
        <v>6</v>
      </c>
      <c r="H2" s="5">
        <v>7</v>
      </c>
      <c r="I2" s="6">
        <v>8</v>
      </c>
      <c r="J2" s="5">
        <v>9</v>
      </c>
      <c r="K2" s="6">
        <v>10</v>
      </c>
      <c r="L2" s="5">
        <v>11</v>
      </c>
      <c r="M2" s="6">
        <v>12</v>
      </c>
      <c r="N2" s="5">
        <v>13</v>
      </c>
      <c r="O2" s="6">
        <v>14</v>
      </c>
      <c r="P2" s="5">
        <v>15</v>
      </c>
      <c r="Q2" s="6">
        <v>16</v>
      </c>
      <c r="R2" s="5">
        <v>17</v>
      </c>
    </row>
    <row r="3" spans="1:18" x14ac:dyDescent="0.2">
      <c r="A3" s="7" t="s">
        <v>4</v>
      </c>
      <c r="B3" s="8" t="s">
        <v>5</v>
      </c>
      <c r="C3" s="8"/>
      <c r="D3" s="9"/>
      <c r="E3" s="10" t="s">
        <v>6</v>
      </c>
      <c r="F3" s="8"/>
      <c r="G3" s="9"/>
      <c r="K3" s="3" t="s">
        <v>7</v>
      </c>
    </row>
    <row r="4" spans="1:18" x14ac:dyDescent="0.2">
      <c r="A4" s="7" t="s">
        <v>8</v>
      </c>
      <c r="B4" s="11">
        <v>43803</v>
      </c>
      <c r="C4" s="8"/>
      <c r="D4" s="9"/>
      <c r="E4" s="10" t="s">
        <v>9</v>
      </c>
      <c r="F4" s="12">
        <v>96330136</v>
      </c>
      <c r="G4" s="9"/>
      <c r="K4" t="s">
        <v>10</v>
      </c>
    </row>
    <row r="5" spans="1:18" x14ac:dyDescent="0.2">
      <c r="A5" s="7" t="s">
        <v>11</v>
      </c>
      <c r="B5" s="11">
        <v>43804</v>
      </c>
      <c r="C5" s="8"/>
      <c r="D5" s="9"/>
      <c r="E5" s="10" t="s">
        <v>12</v>
      </c>
      <c r="F5" s="8" t="s">
        <v>13</v>
      </c>
      <c r="G5" s="9"/>
    </row>
    <row r="6" spans="1:18" x14ac:dyDescent="0.2">
      <c r="A6" s="13"/>
      <c r="D6" s="3" t="s">
        <v>14</v>
      </c>
      <c r="F6" t="s">
        <v>15</v>
      </c>
      <c r="G6" t="s">
        <v>15</v>
      </c>
      <c r="H6" s="3" t="s">
        <v>16</v>
      </c>
      <c r="Q6" s="14"/>
    </row>
    <row r="7" spans="1:18" x14ac:dyDescent="0.2">
      <c r="A7" s="15" t="s">
        <v>17</v>
      </c>
      <c r="B7" s="16" t="s">
        <v>18</v>
      </c>
      <c r="C7" s="17" t="s">
        <v>19</v>
      </c>
      <c r="D7" s="18" t="s">
        <v>20</v>
      </c>
      <c r="E7" s="18" t="s">
        <v>21</v>
      </c>
      <c r="F7" s="19" t="s">
        <v>22</v>
      </c>
      <c r="G7" s="20" t="s">
        <v>23</v>
      </c>
      <c r="H7" s="21" t="s">
        <v>24</v>
      </c>
      <c r="I7" s="21" t="s">
        <v>25</v>
      </c>
      <c r="J7" s="22" t="s">
        <v>26</v>
      </c>
      <c r="K7" s="22" t="s">
        <v>24</v>
      </c>
      <c r="L7" s="22" t="s">
        <v>25</v>
      </c>
      <c r="M7" s="23" t="s">
        <v>27</v>
      </c>
      <c r="N7" s="23" t="s">
        <v>24</v>
      </c>
      <c r="O7" s="23" t="s">
        <v>25</v>
      </c>
      <c r="P7" s="24" t="s">
        <v>28</v>
      </c>
      <c r="Q7" s="24" t="s">
        <v>24</v>
      </c>
      <c r="R7" s="24" t="s">
        <v>25</v>
      </c>
    </row>
    <row r="8" spans="1:18" x14ac:dyDescent="0.2">
      <c r="A8" s="25"/>
      <c r="B8" s="26" t="s">
        <v>29</v>
      </c>
      <c r="C8" s="17"/>
      <c r="D8" s="18"/>
      <c r="E8" s="18"/>
      <c r="F8" s="27" t="s">
        <v>29</v>
      </c>
      <c r="G8" s="28" t="s">
        <v>30</v>
      </c>
      <c r="H8" s="21"/>
      <c r="I8" s="21"/>
      <c r="J8" s="22"/>
      <c r="K8" s="29"/>
      <c r="L8" s="29"/>
      <c r="M8" s="23"/>
      <c r="N8" s="30"/>
      <c r="O8" s="30"/>
      <c r="P8" s="24"/>
      <c r="Q8" s="31"/>
      <c r="R8" s="31"/>
    </row>
    <row r="9" spans="1:18" x14ac:dyDescent="0.2">
      <c r="A9" s="32" t="s">
        <v>31</v>
      </c>
      <c r="B9" s="16">
        <v>1591.5</v>
      </c>
      <c r="C9" s="33" t="s">
        <v>32</v>
      </c>
      <c r="D9" s="34">
        <v>3</v>
      </c>
      <c r="E9" s="34">
        <v>419</v>
      </c>
      <c r="F9" s="35">
        <v>1591</v>
      </c>
      <c r="G9" s="36">
        <v>20</v>
      </c>
      <c r="H9" s="21">
        <v>0.5</v>
      </c>
      <c r="I9" s="37">
        <v>10</v>
      </c>
      <c r="J9" s="38">
        <v>5.0000000000000002E-5</v>
      </c>
      <c r="K9" s="38">
        <f>0.000005</f>
        <v>5.0000000000000004E-6</v>
      </c>
      <c r="L9" s="39">
        <v>10</v>
      </c>
      <c r="M9" s="40">
        <v>4.0000000000000001E-3</v>
      </c>
      <c r="N9" s="40">
        <v>4.0000000000000002E-4</v>
      </c>
      <c r="O9" s="41">
        <v>10</v>
      </c>
      <c r="P9" s="31"/>
      <c r="Q9" s="31"/>
      <c r="R9" s="42"/>
    </row>
    <row r="10" spans="1:18" x14ac:dyDescent="0.2">
      <c r="A10" s="32" t="s">
        <v>33</v>
      </c>
      <c r="B10" s="16">
        <v>1591.5</v>
      </c>
      <c r="C10" s="33" t="s">
        <v>32</v>
      </c>
      <c r="D10" s="34">
        <v>101493</v>
      </c>
      <c r="E10" s="34">
        <v>195221</v>
      </c>
      <c r="F10" s="35">
        <v>1591</v>
      </c>
      <c r="G10" s="36">
        <v>20</v>
      </c>
      <c r="H10" s="21">
        <v>0.5</v>
      </c>
      <c r="I10" s="37">
        <v>10</v>
      </c>
      <c r="J10" s="38">
        <v>5.0000000000000002E-5</v>
      </c>
      <c r="K10" s="38">
        <v>5.0000000000000004E-6</v>
      </c>
      <c r="L10" s="39">
        <v>10</v>
      </c>
      <c r="M10" s="40">
        <v>4.0000000000000001E-3</v>
      </c>
      <c r="N10" s="40">
        <v>4.0000000000000002E-4</v>
      </c>
      <c r="O10" s="41">
        <v>10</v>
      </c>
      <c r="P10" s="31"/>
      <c r="Q10" s="43"/>
      <c r="R10" s="42"/>
    </row>
    <row r="11" spans="1:18" x14ac:dyDescent="0.2">
      <c r="A11" s="32" t="s">
        <v>34</v>
      </c>
      <c r="B11" s="16">
        <v>1591.5</v>
      </c>
      <c r="C11" s="33" t="s">
        <v>32</v>
      </c>
      <c r="D11" s="34">
        <v>199887</v>
      </c>
      <c r="E11" s="34">
        <v>280480</v>
      </c>
      <c r="F11" s="35">
        <v>1591</v>
      </c>
      <c r="G11" s="36">
        <v>20</v>
      </c>
      <c r="H11" s="21">
        <v>0.5</v>
      </c>
      <c r="I11" s="37">
        <v>10</v>
      </c>
      <c r="J11" s="38">
        <v>5.0000000000000002E-5</v>
      </c>
      <c r="K11" s="38">
        <v>5.0000000000000004E-6</v>
      </c>
      <c r="L11" s="39">
        <v>10</v>
      </c>
      <c r="M11" s="40">
        <v>4.0000000000000001E-3</v>
      </c>
      <c r="N11" s="40">
        <v>4.0000000000000002E-4</v>
      </c>
      <c r="O11" s="41">
        <v>10</v>
      </c>
      <c r="P11" s="31"/>
      <c r="Q11" s="43"/>
      <c r="R11" s="42"/>
    </row>
    <row r="12" spans="1:18" x14ac:dyDescent="0.2">
      <c r="A12" s="32" t="s">
        <v>35</v>
      </c>
      <c r="B12" s="16">
        <v>1591.5</v>
      </c>
      <c r="C12" s="33" t="s">
        <v>32</v>
      </c>
      <c r="D12" s="44">
        <v>292655</v>
      </c>
      <c r="E12" s="34">
        <v>345191</v>
      </c>
      <c r="F12" s="35">
        <v>1591</v>
      </c>
      <c r="G12" s="36">
        <v>20</v>
      </c>
      <c r="H12" s="21">
        <v>0.5</v>
      </c>
      <c r="I12" s="37">
        <v>10</v>
      </c>
      <c r="J12" s="38">
        <v>5.0000000000000002E-5</v>
      </c>
      <c r="K12" s="38">
        <v>5.0000000000000004E-6</v>
      </c>
      <c r="L12" s="39">
        <v>10</v>
      </c>
      <c r="M12" s="40">
        <v>4.0000000000000001E-3</v>
      </c>
      <c r="N12" s="40">
        <v>4.0000000000000002E-4</v>
      </c>
      <c r="O12" s="41">
        <v>10</v>
      </c>
      <c r="P12" s="31"/>
      <c r="Q12" s="43"/>
      <c r="R12" s="42"/>
    </row>
    <row r="13" spans="1:18" x14ac:dyDescent="0.2">
      <c r="A13" s="32" t="s">
        <v>36</v>
      </c>
      <c r="B13" s="16">
        <v>1591.5</v>
      </c>
      <c r="C13" s="33" t="s">
        <v>32</v>
      </c>
      <c r="D13" s="34">
        <v>393464</v>
      </c>
      <c r="E13" s="34">
        <v>405970</v>
      </c>
      <c r="F13" s="35">
        <v>1591</v>
      </c>
      <c r="G13" s="36">
        <v>20</v>
      </c>
      <c r="H13" s="21">
        <v>0.5</v>
      </c>
      <c r="I13" s="37">
        <v>10</v>
      </c>
      <c r="J13" s="38">
        <v>5.0000000000000002E-5</v>
      </c>
      <c r="K13" s="38">
        <v>5.0000000000000004E-6</v>
      </c>
      <c r="L13" s="39">
        <v>10</v>
      </c>
      <c r="M13" s="40">
        <v>4.0000000000000001E-3</v>
      </c>
      <c r="N13" s="40">
        <v>4.0000000000000002E-4</v>
      </c>
      <c r="O13" s="41">
        <v>10</v>
      </c>
      <c r="P13" s="31"/>
      <c r="Q13" s="43"/>
      <c r="R13" s="42"/>
    </row>
    <row r="14" spans="1:18" x14ac:dyDescent="0.2">
      <c r="A14" s="32" t="s">
        <v>37</v>
      </c>
      <c r="B14" s="16">
        <v>1591.5</v>
      </c>
      <c r="C14" s="33" t="s">
        <v>32</v>
      </c>
      <c r="D14" s="34">
        <v>490515</v>
      </c>
      <c r="E14" s="34">
        <v>459475</v>
      </c>
      <c r="F14" s="35">
        <v>1591</v>
      </c>
      <c r="G14" s="36">
        <v>20</v>
      </c>
      <c r="H14" s="21">
        <v>0.5</v>
      </c>
      <c r="I14" s="37">
        <v>10</v>
      </c>
      <c r="J14" s="38">
        <v>5.0000000000000002E-5</v>
      </c>
      <c r="K14" s="38">
        <v>5.0000000000000004E-6</v>
      </c>
      <c r="L14" s="39">
        <v>10</v>
      </c>
      <c r="M14" s="40">
        <v>4.0000000000000001E-3</v>
      </c>
      <c r="N14" s="40">
        <v>4.0000000000000002E-4</v>
      </c>
      <c r="O14" s="41">
        <v>10</v>
      </c>
      <c r="P14" s="31"/>
      <c r="Q14" s="43"/>
      <c r="R14" s="42"/>
    </row>
    <row r="15" spans="1:18" x14ac:dyDescent="0.2">
      <c r="A15" s="32" t="s">
        <v>38</v>
      </c>
      <c r="B15" s="16">
        <v>1591.5</v>
      </c>
      <c r="C15" s="33" t="s">
        <v>32</v>
      </c>
      <c r="D15" s="34">
        <v>590969</v>
      </c>
      <c r="E15" s="34">
        <v>510603</v>
      </c>
      <c r="F15" s="35">
        <v>1591</v>
      </c>
      <c r="G15" s="36">
        <v>20</v>
      </c>
      <c r="H15" s="21">
        <v>0.5</v>
      </c>
      <c r="I15" s="37">
        <v>10</v>
      </c>
      <c r="J15" s="38">
        <v>5.0000000000000002E-5</v>
      </c>
      <c r="K15" s="38">
        <v>5.0000000000000004E-6</v>
      </c>
      <c r="L15" s="39">
        <v>10</v>
      </c>
      <c r="M15" s="40">
        <v>4.0000000000000001E-3</v>
      </c>
      <c r="N15" s="40">
        <v>4.0000000000000002E-4</v>
      </c>
      <c r="O15" s="41">
        <v>10</v>
      </c>
      <c r="P15" s="31"/>
      <c r="Q15" s="31"/>
      <c r="R15" s="42"/>
    </row>
    <row r="16" spans="1:18" x14ac:dyDescent="0.2">
      <c r="A16" s="32" t="s">
        <v>39</v>
      </c>
      <c r="B16" s="16">
        <v>1591.5</v>
      </c>
      <c r="C16" s="33" t="s">
        <v>32</v>
      </c>
      <c r="D16" s="34">
        <v>689431</v>
      </c>
      <c r="E16" s="34">
        <v>557663</v>
      </c>
      <c r="F16" s="35">
        <v>1591</v>
      </c>
      <c r="G16" s="36">
        <v>20</v>
      </c>
      <c r="H16" s="21">
        <v>0.5</v>
      </c>
      <c r="I16" s="37">
        <v>10</v>
      </c>
      <c r="J16" s="38">
        <v>5.0000000000000002E-5</v>
      </c>
      <c r="K16" s="38">
        <v>5.0000000000000004E-6</v>
      </c>
      <c r="L16" s="39">
        <v>10</v>
      </c>
      <c r="M16" s="40">
        <v>4.0000000000000001E-3</v>
      </c>
      <c r="N16" s="40">
        <v>4.0000000000000002E-4</v>
      </c>
      <c r="O16" s="41">
        <v>10</v>
      </c>
      <c r="P16" s="31"/>
      <c r="Q16" s="43"/>
      <c r="R16" s="42"/>
    </row>
    <row r="17" spans="1:18" x14ac:dyDescent="0.2">
      <c r="A17" s="32" t="s">
        <v>40</v>
      </c>
      <c r="B17" s="16">
        <v>1591.5</v>
      </c>
      <c r="C17" s="33" t="s">
        <v>32</v>
      </c>
      <c r="D17" s="34">
        <v>788816</v>
      </c>
      <c r="E17" s="34">
        <v>603296</v>
      </c>
      <c r="F17" s="35">
        <v>1591</v>
      </c>
      <c r="G17" s="36">
        <v>20</v>
      </c>
      <c r="H17" s="21">
        <v>0.5</v>
      </c>
      <c r="I17" s="37">
        <v>10</v>
      </c>
      <c r="J17" s="38">
        <v>5.0000000000000002E-5</v>
      </c>
      <c r="K17" s="38">
        <v>5.0000000000000004E-6</v>
      </c>
      <c r="L17" s="39">
        <v>10</v>
      </c>
      <c r="M17" s="40">
        <v>4.0000000000000001E-3</v>
      </c>
      <c r="N17" s="40">
        <v>4.0000000000000002E-4</v>
      </c>
      <c r="O17" s="41">
        <v>10</v>
      </c>
      <c r="P17" s="31"/>
      <c r="Q17" s="43"/>
      <c r="R17" s="42"/>
    </row>
    <row r="18" spans="1:18" x14ac:dyDescent="0.2">
      <c r="A18" s="32" t="s">
        <v>41</v>
      </c>
      <c r="B18" s="16">
        <v>1591.5</v>
      </c>
      <c r="C18" s="33" t="s">
        <v>32</v>
      </c>
      <c r="D18" s="34">
        <v>889889</v>
      </c>
      <c r="E18" s="34">
        <v>648646</v>
      </c>
      <c r="F18" s="35">
        <v>1591</v>
      </c>
      <c r="G18" s="36">
        <v>20</v>
      </c>
      <c r="H18" s="21">
        <v>0.5</v>
      </c>
      <c r="I18" s="37">
        <v>10</v>
      </c>
      <c r="J18" s="38">
        <v>5.0000000000000002E-5</v>
      </c>
      <c r="K18" s="38">
        <v>5.0000000000000004E-6</v>
      </c>
      <c r="L18" s="39">
        <v>10</v>
      </c>
      <c r="M18" s="40">
        <v>4.0000000000000001E-3</v>
      </c>
      <c r="N18" s="40">
        <v>4.0000000000000002E-4</v>
      </c>
      <c r="O18" s="41">
        <v>10</v>
      </c>
      <c r="P18" s="31"/>
      <c r="Q18" s="43"/>
      <c r="R18" s="42"/>
    </row>
    <row r="19" spans="1:18" x14ac:dyDescent="0.2">
      <c r="A19" s="32" t="s">
        <v>42</v>
      </c>
      <c r="B19" s="16">
        <v>1591.5</v>
      </c>
      <c r="C19" s="33" t="s">
        <v>32</v>
      </c>
      <c r="D19" s="34">
        <v>1011051</v>
      </c>
      <c r="E19" s="44">
        <v>699208</v>
      </c>
      <c r="F19" s="35">
        <v>1591</v>
      </c>
      <c r="G19" s="36">
        <v>20</v>
      </c>
      <c r="H19" s="21">
        <v>0.5</v>
      </c>
      <c r="I19" s="37">
        <v>10</v>
      </c>
      <c r="J19" s="38">
        <v>5.0000000000000002E-5</v>
      </c>
      <c r="K19" s="38">
        <v>5.0000000000000004E-6</v>
      </c>
      <c r="L19" s="39">
        <v>10</v>
      </c>
      <c r="M19" s="40">
        <v>4.0000000000000001E-3</v>
      </c>
      <c r="N19" s="40">
        <v>4.0000000000000002E-4</v>
      </c>
      <c r="O19" s="41">
        <v>10</v>
      </c>
      <c r="P19" s="31"/>
      <c r="Q19" s="43"/>
      <c r="R19" s="42"/>
    </row>
    <row r="20" spans="1:18" x14ac:dyDescent="0.2">
      <c r="A20" s="32" t="s">
        <v>31</v>
      </c>
      <c r="B20" s="16">
        <v>1591.5</v>
      </c>
      <c r="C20" s="33" t="s">
        <v>43</v>
      </c>
      <c r="D20" s="34">
        <v>0</v>
      </c>
      <c r="E20" s="34">
        <v>10</v>
      </c>
      <c r="F20" s="35">
        <v>1591</v>
      </c>
      <c r="G20" s="36">
        <v>20</v>
      </c>
      <c r="H20" s="21">
        <v>0.5</v>
      </c>
      <c r="I20" s="37">
        <v>10</v>
      </c>
      <c r="J20" s="38">
        <v>5.0000000000000002E-5</v>
      </c>
      <c r="K20" s="38">
        <v>5.0000000000000004E-6</v>
      </c>
      <c r="L20" s="39">
        <v>10</v>
      </c>
      <c r="M20" s="40">
        <v>4.0000000000000001E-3</v>
      </c>
      <c r="N20" s="40">
        <v>4.0000000000000002E-4</v>
      </c>
      <c r="O20" s="41">
        <v>10</v>
      </c>
      <c r="P20" s="31"/>
      <c r="Q20" s="31"/>
      <c r="R20" s="42"/>
    </row>
    <row r="21" spans="1:18" x14ac:dyDescent="0.2">
      <c r="A21" s="32" t="s">
        <v>33</v>
      </c>
      <c r="B21" s="16">
        <v>1591.5</v>
      </c>
      <c r="C21" s="33" t="s">
        <v>43</v>
      </c>
      <c r="D21" s="34">
        <v>103928</v>
      </c>
      <c r="E21" s="34">
        <v>168318</v>
      </c>
      <c r="F21" s="35">
        <v>1591</v>
      </c>
      <c r="G21" s="36">
        <v>20</v>
      </c>
      <c r="H21" s="21">
        <v>0.5</v>
      </c>
      <c r="I21" s="37">
        <v>10</v>
      </c>
      <c r="J21" s="38">
        <v>5.0000000000000002E-5</v>
      </c>
      <c r="K21" s="38">
        <v>5.0000000000000004E-6</v>
      </c>
      <c r="L21" s="39">
        <v>10</v>
      </c>
      <c r="M21" s="40">
        <v>4.0000000000000001E-3</v>
      </c>
      <c r="N21" s="40">
        <v>4.0000000000000002E-4</v>
      </c>
      <c r="O21" s="41">
        <v>10</v>
      </c>
      <c r="P21" s="31"/>
      <c r="Q21" s="43"/>
      <c r="R21" s="42"/>
    </row>
    <row r="22" spans="1:18" x14ac:dyDescent="0.2">
      <c r="A22" s="32" t="s">
        <v>34</v>
      </c>
      <c r="B22" s="16">
        <v>1591.5</v>
      </c>
      <c r="C22" s="33" t="s">
        <v>43</v>
      </c>
      <c r="D22" s="34">
        <v>207818</v>
      </c>
      <c r="E22" s="34">
        <v>244214</v>
      </c>
      <c r="F22" s="35">
        <v>1591</v>
      </c>
      <c r="G22" s="36">
        <v>20</v>
      </c>
      <c r="H22" s="21">
        <v>0.5</v>
      </c>
      <c r="I22" s="37">
        <v>10</v>
      </c>
      <c r="J22" s="38">
        <v>5.0000000000000002E-5</v>
      </c>
      <c r="K22" s="38">
        <v>5.0000000000000004E-6</v>
      </c>
      <c r="L22" s="39">
        <v>10</v>
      </c>
      <c r="M22" s="40">
        <v>4.0000000000000001E-3</v>
      </c>
      <c r="N22" s="40">
        <v>4.0000000000000002E-4</v>
      </c>
      <c r="O22" s="41">
        <v>10</v>
      </c>
      <c r="P22" s="31"/>
      <c r="Q22" s="43"/>
      <c r="R22" s="42"/>
    </row>
    <row r="23" spans="1:18" x14ac:dyDescent="0.2">
      <c r="A23" s="32" t="s">
        <v>35</v>
      </c>
      <c r="B23" s="16">
        <v>1591.5</v>
      </c>
      <c r="C23" s="33" t="s">
        <v>43</v>
      </c>
      <c r="D23" s="34">
        <v>304591</v>
      </c>
      <c r="E23" s="34">
        <v>301974</v>
      </c>
      <c r="F23" s="35">
        <v>1591</v>
      </c>
      <c r="G23" s="36">
        <v>20</v>
      </c>
      <c r="H23" s="21">
        <v>0.5</v>
      </c>
      <c r="I23" s="37">
        <v>10</v>
      </c>
      <c r="J23" s="38">
        <v>5.0000000000000002E-5</v>
      </c>
      <c r="K23" s="38">
        <v>5.0000000000000004E-6</v>
      </c>
      <c r="L23" s="39">
        <v>10</v>
      </c>
      <c r="M23" s="40">
        <v>4.0000000000000001E-3</v>
      </c>
      <c r="N23" s="40">
        <v>4.0000000000000002E-4</v>
      </c>
      <c r="O23" s="41">
        <v>10</v>
      </c>
      <c r="P23" s="31"/>
      <c r="Q23" s="43"/>
      <c r="R23" s="42"/>
    </row>
    <row r="24" spans="1:18" x14ac:dyDescent="0.2">
      <c r="A24" s="32" t="s">
        <v>36</v>
      </c>
      <c r="B24" s="16">
        <v>1591.5</v>
      </c>
      <c r="C24" s="33" t="s">
        <v>43</v>
      </c>
      <c r="D24" s="34">
        <v>399423</v>
      </c>
      <c r="E24" s="34">
        <v>351053</v>
      </c>
      <c r="F24" s="35">
        <v>1591</v>
      </c>
      <c r="G24" s="36">
        <v>20</v>
      </c>
      <c r="H24" s="21">
        <v>0.5</v>
      </c>
      <c r="I24" s="37">
        <v>10</v>
      </c>
      <c r="J24" s="38">
        <v>5.0000000000000002E-5</v>
      </c>
      <c r="K24" s="38">
        <v>5.0000000000000004E-6</v>
      </c>
      <c r="L24" s="39">
        <v>10</v>
      </c>
      <c r="M24" s="40">
        <v>4.0000000000000001E-3</v>
      </c>
      <c r="N24" s="40">
        <v>4.0000000000000002E-4</v>
      </c>
      <c r="O24" s="41">
        <v>10</v>
      </c>
      <c r="P24" s="31"/>
      <c r="Q24" s="43"/>
      <c r="R24" s="42"/>
    </row>
    <row r="25" spans="1:18" x14ac:dyDescent="0.2">
      <c r="A25" s="32" t="s">
        <v>37</v>
      </c>
      <c r="B25" s="16">
        <v>1591.5</v>
      </c>
      <c r="C25" s="33" t="s">
        <v>43</v>
      </c>
      <c r="D25" s="34">
        <v>495475</v>
      </c>
      <c r="E25" s="34">
        <v>396953</v>
      </c>
      <c r="F25" s="35">
        <v>1591</v>
      </c>
      <c r="G25" s="36">
        <v>20</v>
      </c>
      <c r="H25" s="21">
        <v>0.5</v>
      </c>
      <c r="I25" s="37">
        <v>10</v>
      </c>
      <c r="J25" s="38">
        <v>5.0000000000000002E-5</v>
      </c>
      <c r="K25" s="38">
        <v>5.0000000000000004E-6</v>
      </c>
      <c r="L25" s="39">
        <v>10</v>
      </c>
      <c r="M25" s="40">
        <v>4.0000000000000001E-3</v>
      </c>
      <c r="N25" s="40">
        <v>4.0000000000000002E-4</v>
      </c>
      <c r="O25" s="41">
        <v>10</v>
      </c>
      <c r="P25" s="31"/>
      <c r="Q25" s="43"/>
      <c r="R25" s="42"/>
    </row>
    <row r="26" spans="1:18" x14ac:dyDescent="0.2">
      <c r="A26" s="32" t="s">
        <v>38</v>
      </c>
      <c r="B26" s="16">
        <v>1591.5</v>
      </c>
      <c r="C26" s="33" t="s">
        <v>43</v>
      </c>
      <c r="D26" s="34">
        <v>593476</v>
      </c>
      <c r="E26" s="34">
        <v>440533</v>
      </c>
      <c r="F26" s="35">
        <v>1591</v>
      </c>
      <c r="G26" s="36">
        <v>20</v>
      </c>
      <c r="H26" s="21">
        <v>0.5</v>
      </c>
      <c r="I26" s="37">
        <v>10</v>
      </c>
      <c r="J26" s="38">
        <v>5.0000000000000002E-5</v>
      </c>
      <c r="K26" s="38">
        <v>5.0000000000000004E-6</v>
      </c>
      <c r="L26" s="39">
        <v>10</v>
      </c>
      <c r="M26" s="40">
        <v>4.0000000000000001E-3</v>
      </c>
      <c r="N26" s="40">
        <v>4.0000000000000002E-4</v>
      </c>
      <c r="O26" s="41">
        <v>10</v>
      </c>
      <c r="P26" s="31"/>
      <c r="Q26" s="31"/>
      <c r="R26" s="42"/>
    </row>
    <row r="27" spans="1:18" x14ac:dyDescent="0.2">
      <c r="A27" s="32" t="s">
        <v>39</v>
      </c>
      <c r="B27" s="16">
        <v>1591.5</v>
      </c>
      <c r="C27" s="33" t="s">
        <v>43</v>
      </c>
      <c r="D27" s="34">
        <v>691330</v>
      </c>
      <c r="E27" s="34">
        <v>482103</v>
      </c>
      <c r="F27" s="35">
        <v>1591</v>
      </c>
      <c r="G27" s="36">
        <v>20</v>
      </c>
      <c r="H27" s="21">
        <v>0.5</v>
      </c>
      <c r="I27" s="37">
        <v>10</v>
      </c>
      <c r="J27" s="38">
        <v>5.0000000000000002E-5</v>
      </c>
      <c r="K27" s="38">
        <v>5.0000000000000004E-6</v>
      </c>
      <c r="L27" s="39">
        <v>10</v>
      </c>
      <c r="M27" s="40">
        <v>4.0000000000000001E-3</v>
      </c>
      <c r="N27" s="40">
        <v>4.0000000000000002E-4</v>
      </c>
      <c r="O27" s="41">
        <v>10</v>
      </c>
      <c r="P27" s="31"/>
      <c r="Q27" s="43"/>
      <c r="R27" s="42"/>
    </row>
    <row r="28" spans="1:18" x14ac:dyDescent="0.2">
      <c r="A28" s="32" t="s">
        <v>40</v>
      </c>
      <c r="B28" s="16">
        <v>1591.5</v>
      </c>
      <c r="C28" s="33" t="s">
        <v>43</v>
      </c>
      <c r="D28" s="34">
        <v>785060</v>
      </c>
      <c r="E28" s="34">
        <v>521293</v>
      </c>
      <c r="F28" s="35">
        <v>1591</v>
      </c>
      <c r="G28" s="36">
        <v>20</v>
      </c>
      <c r="H28" s="21">
        <v>0.5</v>
      </c>
      <c r="I28" s="37">
        <v>10</v>
      </c>
      <c r="J28" s="38">
        <v>5.0000000000000002E-5</v>
      </c>
      <c r="K28" s="38">
        <v>5.0000000000000004E-6</v>
      </c>
      <c r="L28" s="39">
        <v>10</v>
      </c>
      <c r="M28" s="40">
        <v>4.0000000000000001E-3</v>
      </c>
      <c r="N28" s="40">
        <v>4.0000000000000002E-4</v>
      </c>
      <c r="O28" s="41">
        <v>10</v>
      </c>
      <c r="P28" s="31"/>
      <c r="Q28" s="43"/>
      <c r="R28" s="42"/>
    </row>
    <row r="29" spans="1:18" x14ac:dyDescent="0.2">
      <c r="A29" s="32" t="s">
        <v>41</v>
      </c>
      <c r="B29" s="16">
        <v>1591.5</v>
      </c>
      <c r="C29" s="33" t="s">
        <v>43</v>
      </c>
      <c r="D29" s="34">
        <v>880750</v>
      </c>
      <c r="E29" s="34">
        <v>560533</v>
      </c>
      <c r="F29" s="35">
        <v>1591</v>
      </c>
      <c r="G29" s="36">
        <v>20</v>
      </c>
      <c r="H29" s="21">
        <v>0.5</v>
      </c>
      <c r="I29" s="37">
        <v>10</v>
      </c>
      <c r="J29" s="38">
        <v>5.0000000000000002E-5</v>
      </c>
      <c r="K29" s="38">
        <v>5.0000000000000004E-6</v>
      </c>
      <c r="L29" s="39">
        <v>10</v>
      </c>
      <c r="M29" s="40">
        <v>4.0000000000000001E-3</v>
      </c>
      <c r="N29" s="40">
        <v>4.0000000000000002E-4</v>
      </c>
      <c r="O29" s="41">
        <v>10</v>
      </c>
      <c r="P29" s="31"/>
      <c r="Q29" s="43"/>
      <c r="R29" s="42"/>
    </row>
    <row r="30" spans="1:18" x14ac:dyDescent="0.2">
      <c r="A30" s="32" t="s">
        <v>42</v>
      </c>
      <c r="B30" s="16">
        <v>1591.5</v>
      </c>
      <c r="C30" s="33" t="s">
        <v>43</v>
      </c>
      <c r="D30" s="34">
        <v>988170</v>
      </c>
      <c r="E30" s="34">
        <v>601673</v>
      </c>
      <c r="F30" s="35">
        <v>1591</v>
      </c>
      <c r="G30" s="36">
        <v>20</v>
      </c>
      <c r="H30" s="21">
        <v>0.5</v>
      </c>
      <c r="I30" s="37">
        <v>10</v>
      </c>
      <c r="J30" s="38">
        <v>5.0000000000000002E-5</v>
      </c>
      <c r="K30" s="38">
        <v>5.0000000000000004E-6</v>
      </c>
      <c r="L30" s="39">
        <v>10</v>
      </c>
      <c r="M30" s="40">
        <v>4.0000000000000001E-3</v>
      </c>
      <c r="N30" s="40">
        <v>4.0000000000000002E-4</v>
      </c>
      <c r="O30" s="41">
        <v>10</v>
      </c>
      <c r="P30" s="31"/>
      <c r="Q30" s="43"/>
      <c r="R30" s="42"/>
    </row>
    <row r="31" spans="1:18" x14ac:dyDescent="0.2">
      <c r="A31" s="32"/>
      <c r="B31" s="16"/>
      <c r="C31" s="33"/>
      <c r="D31" s="34"/>
      <c r="E31" s="34"/>
      <c r="F31" s="35"/>
      <c r="G31" s="36"/>
      <c r="H31" s="21"/>
      <c r="I31" s="37"/>
      <c r="J31" s="29"/>
      <c r="K31" s="38"/>
      <c r="L31" s="39"/>
      <c r="M31" s="30"/>
      <c r="N31" s="40"/>
      <c r="O31" s="41"/>
      <c r="P31" s="31"/>
      <c r="Q31" s="43"/>
      <c r="R31" s="42"/>
    </row>
    <row r="32" spans="1:18" x14ac:dyDescent="0.2">
      <c r="A32" s="32"/>
      <c r="B32" s="16"/>
      <c r="C32" s="33"/>
      <c r="D32" s="34"/>
      <c r="E32" s="34"/>
      <c r="F32" s="35"/>
      <c r="G32" s="36"/>
      <c r="H32" s="21"/>
      <c r="I32" s="37"/>
      <c r="J32" s="29"/>
      <c r="K32" s="38"/>
      <c r="L32" s="39"/>
      <c r="M32" s="30"/>
      <c r="N32" s="40"/>
      <c r="O32" s="41"/>
      <c r="P32" s="31"/>
      <c r="Q32" s="43"/>
      <c r="R32" s="42"/>
    </row>
    <row r="33" spans="1:18" x14ac:dyDescent="0.2">
      <c r="A33" s="32"/>
      <c r="B33" s="16"/>
      <c r="C33" s="33"/>
      <c r="D33" s="34"/>
      <c r="E33" s="34"/>
      <c r="F33" s="35"/>
      <c r="G33" s="36"/>
      <c r="H33" s="21"/>
      <c r="I33" s="37"/>
      <c r="J33" s="29"/>
      <c r="K33" s="38"/>
      <c r="L33" s="39"/>
      <c r="M33" s="30"/>
      <c r="N33" s="40"/>
      <c r="O33" s="41"/>
      <c r="P33" s="31"/>
      <c r="Q33" s="43"/>
      <c r="R33" s="42"/>
    </row>
    <row r="34" spans="1:18" x14ac:dyDescent="0.2">
      <c r="A34" s="32"/>
      <c r="B34" s="16"/>
      <c r="C34" s="33"/>
      <c r="D34" s="34"/>
      <c r="E34" s="34"/>
      <c r="F34" s="35"/>
      <c r="G34" s="36"/>
      <c r="H34" s="21"/>
      <c r="I34" s="37"/>
      <c r="J34" s="29"/>
      <c r="K34" s="38"/>
      <c r="L34" s="39"/>
      <c r="M34" s="30"/>
      <c r="N34" s="40"/>
      <c r="O34" s="41"/>
      <c r="P34" s="31"/>
      <c r="Q34" s="31"/>
      <c r="R34" s="42"/>
    </row>
    <row r="35" spans="1:18" x14ac:dyDescent="0.2">
      <c r="A35" s="32"/>
      <c r="B35" s="16"/>
      <c r="C35" s="33"/>
      <c r="D35" s="34"/>
      <c r="E35" s="34"/>
      <c r="F35" s="35"/>
      <c r="G35" s="36"/>
      <c r="H35" s="21"/>
      <c r="I35" s="37"/>
      <c r="J35" s="29"/>
      <c r="K35" s="38"/>
      <c r="L35" s="39"/>
      <c r="M35" s="30"/>
      <c r="N35" s="40"/>
      <c r="O35" s="41"/>
      <c r="P35" s="31"/>
      <c r="Q35" s="31"/>
      <c r="R35" s="31"/>
    </row>
    <row r="36" spans="1:18" x14ac:dyDescent="0.2">
      <c r="A36" s="32"/>
      <c r="B36" s="16"/>
      <c r="C36" s="33"/>
      <c r="D36" s="34"/>
      <c r="E36" s="34"/>
      <c r="F36" s="35"/>
      <c r="G36" s="36"/>
      <c r="H36" s="21"/>
      <c r="I36" s="37"/>
      <c r="J36" s="29"/>
      <c r="K36" s="38"/>
      <c r="L36" s="39"/>
      <c r="M36" s="30"/>
      <c r="N36" s="40"/>
      <c r="O36" s="41"/>
      <c r="P36" s="31"/>
      <c r="Q36" s="31"/>
      <c r="R36" s="31"/>
    </row>
    <row r="37" spans="1:18" x14ac:dyDescent="0.2">
      <c r="A37" s="32"/>
      <c r="B37" s="16"/>
      <c r="C37" s="33"/>
      <c r="D37" s="34"/>
      <c r="E37" s="34"/>
      <c r="F37" s="35"/>
      <c r="G37" s="36"/>
      <c r="H37" s="21"/>
      <c r="I37" s="37"/>
      <c r="J37" s="29"/>
      <c r="K37" s="38"/>
      <c r="L37" s="39"/>
      <c r="M37" s="30"/>
      <c r="N37" s="40"/>
      <c r="O37" s="41"/>
      <c r="P37" s="31"/>
      <c r="Q37" s="31"/>
      <c r="R37" s="31"/>
    </row>
    <row r="38" spans="1:18" x14ac:dyDescent="0.2">
      <c r="A38" s="32"/>
      <c r="B38" s="16"/>
      <c r="C38" s="33"/>
      <c r="D38" s="34"/>
      <c r="E38" s="34"/>
      <c r="F38" s="35"/>
      <c r="G38" s="36"/>
      <c r="H38" s="21"/>
      <c r="I38" s="37"/>
      <c r="J38" s="29"/>
      <c r="K38" s="38"/>
      <c r="L38" s="39"/>
      <c r="M38" s="30"/>
      <c r="N38" s="40"/>
      <c r="O38" s="41"/>
      <c r="P38" s="31"/>
      <c r="Q38" s="31"/>
      <c r="R38" s="31"/>
    </row>
    <row r="39" spans="1:18" x14ac:dyDescent="0.2">
      <c r="A39" s="32"/>
      <c r="B39" s="16"/>
      <c r="C39" s="33"/>
      <c r="D39" s="34"/>
      <c r="E39" s="34"/>
      <c r="F39" s="35"/>
      <c r="G39" s="36"/>
      <c r="H39" s="21"/>
      <c r="I39" s="37"/>
      <c r="J39" s="29"/>
      <c r="K39" s="38"/>
      <c r="L39" s="39"/>
      <c r="M39" s="30"/>
      <c r="N39" s="40"/>
      <c r="O39" s="41"/>
      <c r="P39" s="31"/>
      <c r="Q39" s="31"/>
      <c r="R39" s="31"/>
    </row>
    <row r="40" spans="1:18" x14ac:dyDescent="0.2">
      <c r="A40" s="32"/>
      <c r="B40" s="16"/>
      <c r="C40" s="33"/>
      <c r="D40" s="34"/>
      <c r="E40" s="34"/>
      <c r="F40" s="35"/>
      <c r="G40" s="36"/>
      <c r="H40" s="21"/>
      <c r="I40" s="37"/>
      <c r="J40" s="29"/>
      <c r="K40" s="38"/>
      <c r="L40" s="39"/>
      <c r="M40" s="30"/>
      <c r="N40" s="40"/>
      <c r="O40" s="41"/>
      <c r="P40" s="31"/>
      <c r="Q40" s="31"/>
      <c r="R40" s="31"/>
    </row>
    <row r="41" spans="1:18" x14ac:dyDescent="0.2">
      <c r="A41" s="32"/>
      <c r="B41" s="16"/>
      <c r="C41" s="33"/>
      <c r="D41" s="34"/>
      <c r="E41" s="34"/>
      <c r="F41" s="35"/>
      <c r="G41" s="36"/>
      <c r="H41" s="21"/>
      <c r="I41" s="37"/>
      <c r="J41" s="29"/>
      <c r="K41" s="38"/>
      <c r="L41" s="39"/>
      <c r="M41" s="30"/>
      <c r="N41" s="40"/>
      <c r="O41" s="41"/>
      <c r="P41" s="31"/>
      <c r="Q41" s="31"/>
      <c r="R41" s="31"/>
    </row>
    <row r="42" spans="1:18" x14ac:dyDescent="0.2">
      <c r="A42" s="32"/>
      <c r="B42" s="16"/>
      <c r="C42" s="33"/>
      <c r="D42" s="34"/>
      <c r="E42" s="34"/>
      <c r="F42" s="35"/>
      <c r="G42" s="36"/>
      <c r="H42" s="21"/>
      <c r="I42" s="37"/>
      <c r="J42" s="29"/>
      <c r="K42" s="38"/>
      <c r="L42" s="39"/>
      <c r="M42" s="30"/>
      <c r="N42" s="40"/>
      <c r="O42" s="41"/>
      <c r="P42" s="31"/>
      <c r="Q42" s="31"/>
      <c r="R42" s="31"/>
    </row>
    <row r="43" spans="1:18" x14ac:dyDescent="0.2">
      <c r="A43" s="32"/>
      <c r="B43" s="16"/>
      <c r="C43" s="33"/>
      <c r="D43" s="34"/>
      <c r="E43" s="34"/>
      <c r="F43" s="35"/>
      <c r="G43" s="36"/>
      <c r="H43" s="21"/>
      <c r="I43" s="37"/>
      <c r="J43" s="29"/>
      <c r="K43" s="38"/>
      <c r="L43" s="39"/>
      <c r="M43" s="30"/>
      <c r="N43" s="40"/>
      <c r="O43" s="41"/>
      <c r="P43" s="31"/>
      <c r="Q43" s="31"/>
      <c r="R43" s="31"/>
    </row>
    <row r="44" spans="1:18" x14ac:dyDescent="0.2">
      <c r="A44" s="32"/>
      <c r="B44" s="16"/>
      <c r="C44" s="33"/>
      <c r="D44" s="34"/>
      <c r="E44" s="34"/>
      <c r="F44" s="35"/>
      <c r="G44" s="36"/>
      <c r="H44" s="21"/>
      <c r="I44" s="37"/>
      <c r="J44" s="29"/>
      <c r="K44" s="38"/>
      <c r="L44" s="39"/>
      <c r="M44" s="30"/>
      <c r="N44" s="40"/>
      <c r="O44" s="41"/>
      <c r="P44" s="31"/>
      <c r="Q44" s="31"/>
      <c r="R44" s="31"/>
    </row>
    <row r="45" spans="1:18" x14ac:dyDescent="0.2">
      <c r="A45" s="32"/>
      <c r="B45" s="16"/>
      <c r="C45" s="33"/>
      <c r="D45" s="34"/>
      <c r="E45" s="34"/>
      <c r="F45" s="35"/>
      <c r="G45" s="36"/>
      <c r="H45" s="21"/>
      <c r="I45" s="37"/>
      <c r="J45" s="29"/>
      <c r="K45" s="38"/>
      <c r="L45" s="39"/>
      <c r="M45" s="30"/>
      <c r="N45" s="40"/>
      <c r="O45" s="41"/>
      <c r="P45" s="31"/>
      <c r="Q45" s="31"/>
      <c r="R45" s="31"/>
    </row>
    <row r="46" spans="1:18" x14ac:dyDescent="0.2">
      <c r="A46" s="32"/>
      <c r="B46" s="16"/>
      <c r="C46" s="33"/>
      <c r="D46" s="34"/>
      <c r="E46" s="34"/>
      <c r="F46" s="35"/>
      <c r="G46" s="36"/>
      <c r="H46" s="21"/>
      <c r="I46" s="37"/>
      <c r="J46" s="29"/>
      <c r="K46" s="38"/>
      <c r="L46" s="39"/>
      <c r="M46" s="30"/>
      <c r="N46" s="40"/>
      <c r="O46" s="41"/>
      <c r="P46" s="31"/>
      <c r="Q46" s="31"/>
      <c r="R46" s="31"/>
    </row>
    <row r="47" spans="1:18" x14ac:dyDescent="0.2">
      <c r="A47" s="32"/>
      <c r="B47" s="16"/>
      <c r="C47" s="33"/>
      <c r="D47" s="34"/>
      <c r="E47" s="34"/>
      <c r="F47" s="35"/>
      <c r="G47" s="36"/>
      <c r="H47" s="21"/>
      <c r="I47" s="37"/>
      <c r="J47" s="29"/>
      <c r="K47" s="38"/>
      <c r="L47" s="39"/>
      <c r="M47" s="30"/>
      <c r="N47" s="40"/>
      <c r="O47" s="41"/>
      <c r="P47" s="31"/>
      <c r="Q47" s="31"/>
      <c r="R47" s="31"/>
    </row>
    <row r="48" spans="1:18" x14ac:dyDescent="0.2">
      <c r="A48" s="32"/>
      <c r="B48" s="16"/>
      <c r="C48" s="33"/>
      <c r="D48" s="34"/>
      <c r="E48" s="34"/>
      <c r="F48" s="35"/>
      <c r="G48" s="36"/>
      <c r="H48" s="21"/>
      <c r="I48" s="37"/>
      <c r="J48" s="29"/>
      <c r="K48" s="38"/>
      <c r="L48" s="39"/>
      <c r="M48" s="30"/>
      <c r="N48" s="40"/>
      <c r="O48" s="41"/>
      <c r="P48" s="31"/>
      <c r="Q48" s="31"/>
      <c r="R48" s="31"/>
    </row>
    <row r="49" spans="1:18" x14ac:dyDescent="0.2">
      <c r="A49" s="32"/>
      <c r="B49" s="16"/>
      <c r="C49" s="33"/>
      <c r="D49" s="34"/>
      <c r="E49" s="34"/>
      <c r="F49" s="35"/>
      <c r="G49" s="36"/>
      <c r="H49" s="21"/>
      <c r="I49" s="37"/>
      <c r="J49" s="29"/>
      <c r="K49" s="38"/>
      <c r="L49" s="39"/>
      <c r="M49" s="30"/>
      <c r="N49" s="40"/>
      <c r="O49" s="41"/>
      <c r="P49" s="31"/>
      <c r="Q49" s="31"/>
      <c r="R49" s="31"/>
    </row>
    <row r="50" spans="1:18" x14ac:dyDescent="0.2">
      <c r="A50" s="32"/>
      <c r="B50" s="16"/>
      <c r="C50" s="33"/>
      <c r="D50" s="34"/>
      <c r="E50" s="34"/>
      <c r="F50" s="35"/>
      <c r="G50" s="36"/>
      <c r="H50" s="21"/>
      <c r="I50" s="37"/>
      <c r="J50" s="29"/>
      <c r="K50" s="38"/>
      <c r="L50" s="39"/>
      <c r="M50" s="30"/>
      <c r="N50" s="40"/>
      <c r="O50" s="41"/>
      <c r="P50" s="31"/>
      <c r="Q50" s="31"/>
      <c r="R50" s="31"/>
    </row>
    <row r="51" spans="1:18" x14ac:dyDescent="0.2">
      <c r="A51" s="32"/>
      <c r="B51" s="16"/>
      <c r="C51" s="33"/>
      <c r="D51" s="34"/>
      <c r="E51" s="34"/>
      <c r="F51" s="35"/>
      <c r="G51" s="36"/>
      <c r="H51" s="21"/>
      <c r="I51" s="37"/>
      <c r="J51" s="29"/>
      <c r="K51" s="38"/>
      <c r="L51" s="39"/>
      <c r="M51" s="30"/>
      <c r="N51" s="40"/>
      <c r="O51" s="41"/>
      <c r="P51" s="31"/>
      <c r="Q51" s="31"/>
      <c r="R51" s="31"/>
    </row>
    <row r="52" spans="1:18" x14ac:dyDescent="0.2">
      <c r="A52" s="32"/>
      <c r="B52" s="16"/>
      <c r="C52" s="33"/>
      <c r="D52" s="34"/>
      <c r="E52" s="34"/>
      <c r="F52" s="35"/>
      <c r="G52" s="36"/>
      <c r="H52" s="21"/>
      <c r="I52" s="37"/>
      <c r="J52" s="29"/>
      <c r="K52" s="38"/>
      <c r="L52" s="39"/>
      <c r="M52" s="30"/>
      <c r="N52" s="40"/>
      <c r="O52" s="41"/>
      <c r="P52" s="31"/>
      <c r="Q52" s="31"/>
      <c r="R52" s="31"/>
    </row>
    <row r="53" spans="1:18" x14ac:dyDescent="0.2">
      <c r="A53" s="32"/>
      <c r="B53" s="16"/>
      <c r="C53" s="33"/>
      <c r="D53" s="34"/>
      <c r="E53" s="34"/>
      <c r="F53" s="35"/>
      <c r="G53" s="36"/>
      <c r="H53" s="21"/>
      <c r="I53" s="37"/>
      <c r="J53" s="29"/>
      <c r="K53" s="38"/>
      <c r="L53" s="39"/>
      <c r="M53" s="30"/>
      <c r="N53" s="40"/>
      <c r="O53" s="41"/>
      <c r="P53" s="31"/>
      <c r="Q53" s="31"/>
      <c r="R53" s="31"/>
    </row>
    <row r="54" spans="1:18" x14ac:dyDescent="0.2">
      <c r="A54" s="32"/>
      <c r="B54" s="16"/>
      <c r="C54" s="33"/>
      <c r="D54" s="34"/>
      <c r="E54" s="34"/>
      <c r="F54" s="35"/>
      <c r="G54" s="36"/>
      <c r="H54" s="21"/>
      <c r="I54" s="37"/>
      <c r="J54" s="38"/>
      <c r="K54" s="38"/>
      <c r="L54" s="39"/>
      <c r="M54" s="30"/>
      <c r="N54" s="40"/>
      <c r="O54" s="41"/>
      <c r="P54" s="31"/>
      <c r="Q54" s="31"/>
      <c r="R54" s="31"/>
    </row>
    <row r="55" spans="1:18" x14ac:dyDescent="0.2">
      <c r="A55" s="32"/>
      <c r="B55" s="16"/>
      <c r="C55" s="33"/>
      <c r="D55" s="34"/>
      <c r="E55" s="34"/>
      <c r="F55" s="35"/>
      <c r="G55" s="36"/>
      <c r="H55" s="21"/>
      <c r="I55" s="37"/>
      <c r="J55" s="29"/>
      <c r="K55" s="38"/>
      <c r="L55" s="39"/>
      <c r="M55" s="30"/>
      <c r="N55" s="40"/>
      <c r="O55" s="41"/>
      <c r="P55" s="31"/>
      <c r="Q55" s="31"/>
      <c r="R55" s="31"/>
    </row>
    <row r="56" spans="1:18" x14ac:dyDescent="0.2">
      <c r="A56" s="32"/>
      <c r="B56" s="16"/>
      <c r="C56" s="33"/>
      <c r="D56" s="34"/>
      <c r="E56" s="34"/>
      <c r="F56" s="35"/>
      <c r="G56" s="36"/>
      <c r="H56" s="21"/>
      <c r="I56" s="37"/>
      <c r="J56" s="38"/>
      <c r="K56" s="38"/>
      <c r="L56" s="39"/>
      <c r="M56" s="30"/>
      <c r="N56" s="40"/>
      <c r="O56" s="41"/>
      <c r="P56" s="31"/>
      <c r="Q56" s="31"/>
      <c r="R56" s="31"/>
    </row>
    <row r="57" spans="1:18" x14ac:dyDescent="0.2">
      <c r="A57" s="32"/>
      <c r="B57" s="16"/>
      <c r="C57" s="33"/>
      <c r="D57" s="34"/>
      <c r="E57" s="34"/>
      <c r="F57" s="35"/>
      <c r="G57" s="36"/>
      <c r="H57" s="21"/>
      <c r="I57" s="37"/>
      <c r="J57" s="29"/>
      <c r="K57" s="38"/>
      <c r="L57" s="39"/>
      <c r="M57" s="30"/>
      <c r="N57" s="40"/>
      <c r="O57" s="41"/>
      <c r="P57" s="31"/>
      <c r="Q57" s="31"/>
      <c r="R57" s="31"/>
    </row>
    <row r="58" spans="1:18" x14ac:dyDescent="0.2">
      <c r="A58" s="32"/>
      <c r="B58" s="16"/>
      <c r="C58" s="33"/>
      <c r="D58" s="34"/>
      <c r="E58" s="34"/>
      <c r="F58" s="35"/>
      <c r="G58" s="36"/>
      <c r="H58" s="21"/>
      <c r="I58" s="37"/>
      <c r="J58" s="29"/>
      <c r="K58" s="38"/>
      <c r="L58" s="39"/>
      <c r="M58" s="30"/>
      <c r="N58" s="40"/>
      <c r="O58" s="41"/>
      <c r="P58" s="31"/>
      <c r="Q58" s="31"/>
      <c r="R58" s="31"/>
    </row>
    <row r="59" spans="1:18" x14ac:dyDescent="0.2">
      <c r="A59" s="32"/>
      <c r="B59" s="16"/>
      <c r="C59" s="33"/>
      <c r="D59" s="34"/>
      <c r="E59" s="34"/>
      <c r="F59" s="35"/>
      <c r="G59" s="36"/>
      <c r="H59" s="21"/>
      <c r="I59" s="37"/>
      <c r="J59" s="29"/>
      <c r="K59" s="38"/>
      <c r="L59" s="39"/>
      <c r="M59" s="30"/>
      <c r="N59" s="40"/>
      <c r="O59" s="41"/>
      <c r="P59" s="31"/>
      <c r="Q59" s="31"/>
      <c r="R59" s="31"/>
    </row>
    <row r="60" spans="1:18" x14ac:dyDescent="0.2">
      <c r="A60" s="32"/>
      <c r="B60" s="16"/>
      <c r="C60" s="33"/>
      <c r="D60" s="34"/>
      <c r="E60" s="34"/>
      <c r="F60" s="35"/>
      <c r="G60" s="36"/>
      <c r="H60" s="21"/>
      <c r="I60" s="37"/>
      <c r="J60" s="29"/>
      <c r="K60" s="38"/>
      <c r="L60" s="39"/>
      <c r="M60" s="30"/>
      <c r="N60" s="40"/>
      <c r="O60" s="41"/>
      <c r="P60" s="31"/>
      <c r="Q60" s="31"/>
      <c r="R60" s="31"/>
    </row>
    <row r="61" spans="1:18" x14ac:dyDescent="0.2">
      <c r="A61" s="32"/>
      <c r="B61" s="16"/>
      <c r="C61" s="33"/>
      <c r="D61" s="34"/>
      <c r="E61" s="34"/>
      <c r="F61" s="35"/>
      <c r="G61" s="36"/>
      <c r="H61" s="21"/>
      <c r="I61" s="37"/>
      <c r="J61" s="29"/>
      <c r="K61" s="38"/>
      <c r="L61" s="39"/>
      <c r="M61" s="30"/>
      <c r="N61" s="40"/>
      <c r="O61" s="41"/>
      <c r="P61" s="31"/>
      <c r="Q61" s="31"/>
      <c r="R61" s="31"/>
    </row>
    <row r="62" spans="1:18" x14ac:dyDescent="0.2">
      <c r="A62" s="32"/>
      <c r="B62" s="16"/>
      <c r="C62" s="33"/>
      <c r="D62" s="34"/>
      <c r="E62" s="34"/>
      <c r="F62" s="35"/>
      <c r="G62" s="36"/>
      <c r="H62" s="21"/>
      <c r="I62" s="37"/>
      <c r="J62" s="29"/>
      <c r="K62" s="38"/>
      <c r="L62" s="39"/>
      <c r="M62" s="30"/>
      <c r="N62" s="40"/>
      <c r="O62" s="41"/>
      <c r="P62" s="31"/>
      <c r="Q62" s="31"/>
      <c r="R62" s="31"/>
    </row>
  </sheetData>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Q23"/>
  <sheetViews>
    <sheetView zoomScaleNormal="100" workbookViewId="0">
      <pane xSplit="3" ySplit="1" topLeftCell="D2" activePane="bottomRight" state="frozen"/>
      <selection pane="topRight" activeCell="D1" sqref="D1"/>
      <selection pane="bottomLeft" activeCell="A2" sqref="A2"/>
      <selection pane="bottomRight" activeCell="A2" sqref="A2:W23"/>
    </sheetView>
  </sheetViews>
  <sheetFormatPr defaultColWidth="11.42578125" defaultRowHeight="12.75" x14ac:dyDescent="0.2"/>
  <cols>
    <col min="16" max="16" width="12.28515625" customWidth="1"/>
    <col min="17" max="17" width="12.42578125" customWidth="1"/>
    <col min="18" max="18" width="13.140625" customWidth="1"/>
    <col min="26" max="27" width="15" customWidth="1"/>
    <col min="28" max="28" width="13.7109375" customWidth="1"/>
    <col min="32" max="32" width="13.140625" customWidth="1"/>
    <col min="36" max="36" width="17.28515625" customWidth="1"/>
    <col min="39" max="39" width="13.140625" customWidth="1"/>
    <col min="45" max="45" width="13.140625" customWidth="1"/>
  </cols>
  <sheetData>
    <row r="1" spans="1:43" x14ac:dyDescent="0.2">
      <c r="A1" s="3" t="s">
        <v>17</v>
      </c>
      <c r="B1" s="3" t="s">
        <v>44</v>
      </c>
      <c r="C1" s="3" t="s">
        <v>19</v>
      </c>
      <c r="D1" s="3" t="s">
        <v>45</v>
      </c>
      <c r="E1" s="3" t="s">
        <v>46</v>
      </c>
      <c r="F1" s="3" t="s">
        <v>47</v>
      </c>
      <c r="G1" s="3" t="s">
        <v>48</v>
      </c>
      <c r="H1" s="3" t="s">
        <v>49</v>
      </c>
      <c r="I1" s="3" t="s">
        <v>50</v>
      </c>
      <c r="J1" s="3" t="s">
        <v>51</v>
      </c>
      <c r="K1" s="3" t="s">
        <v>52</v>
      </c>
      <c r="L1" s="3" t="s">
        <v>53</v>
      </c>
      <c r="M1" s="3" t="s">
        <v>54</v>
      </c>
      <c r="N1" s="3" t="s">
        <v>55</v>
      </c>
      <c r="O1" s="3" t="s">
        <v>56</v>
      </c>
      <c r="P1" s="3" t="s">
        <v>57</v>
      </c>
      <c r="Q1" s="3" t="s">
        <v>58</v>
      </c>
      <c r="R1" s="3" t="s">
        <v>59</v>
      </c>
      <c r="S1" s="3" t="s">
        <v>60</v>
      </c>
      <c r="T1" s="3" t="s">
        <v>61</v>
      </c>
      <c r="U1" s="3" t="s">
        <v>62</v>
      </c>
      <c r="V1" s="3" t="s">
        <v>63</v>
      </c>
      <c r="W1" s="3" t="s">
        <v>64</v>
      </c>
      <c r="X1" s="3" t="s">
        <v>65</v>
      </c>
      <c r="Y1" s="3" t="s">
        <v>66</v>
      </c>
      <c r="Z1" s="3" t="s">
        <v>67</v>
      </c>
      <c r="AA1" s="3" t="s">
        <v>68</v>
      </c>
      <c r="AB1" s="3" t="s">
        <v>69</v>
      </c>
      <c r="AC1" s="3" t="s">
        <v>70</v>
      </c>
      <c r="AD1" s="3" t="s">
        <v>71</v>
      </c>
      <c r="AE1" s="3" t="s">
        <v>72</v>
      </c>
      <c r="AF1" s="3" t="s">
        <v>73</v>
      </c>
      <c r="AG1" s="3" t="s">
        <v>74</v>
      </c>
      <c r="AH1" s="3" t="s">
        <v>71</v>
      </c>
      <c r="AI1" s="3" t="s">
        <v>75</v>
      </c>
      <c r="AJ1" s="3"/>
      <c r="AK1" s="3"/>
      <c r="AL1" s="3"/>
      <c r="AO1" s="3"/>
    </row>
    <row r="2" spans="1:43" x14ac:dyDescent="0.2">
      <c r="A2" t="s">
        <v>31</v>
      </c>
      <c r="B2">
        <v>1591.5</v>
      </c>
      <c r="C2" t="s">
        <v>32</v>
      </c>
      <c r="D2">
        <v>3</v>
      </c>
      <c r="E2">
        <v>419</v>
      </c>
      <c r="F2">
        <v>1591</v>
      </c>
      <c r="G2">
        <v>20</v>
      </c>
      <c r="H2">
        <v>0.5</v>
      </c>
      <c r="I2">
        <v>10</v>
      </c>
      <c r="J2">
        <v>5.0000000000000002E-5</v>
      </c>
      <c r="K2">
        <v>5.0000000000000004E-6</v>
      </c>
      <c r="L2">
        <v>10</v>
      </c>
      <c r="M2">
        <v>4.0000000000000001E-3</v>
      </c>
      <c r="N2">
        <v>4.0000000000000002E-4</v>
      </c>
      <c r="O2">
        <v>10</v>
      </c>
      <c r="P2">
        <v>0</v>
      </c>
      <c r="Q2">
        <v>0</v>
      </c>
      <c r="R2">
        <v>0</v>
      </c>
      <c r="S2">
        <v>0</v>
      </c>
      <c r="T2">
        <v>0</v>
      </c>
      <c r="U2">
        <v>0</v>
      </c>
      <c r="V2">
        <v>1.2570710950525161E-7</v>
      </c>
      <c r="W2">
        <v>1.257071161752914E-3</v>
      </c>
      <c r="X2" s="45">
        <f t="shared" ref="X2:X23" si="0">Q2/V2</f>
        <v>0</v>
      </c>
      <c r="Y2" s="45">
        <f t="shared" ref="Y2:Y23" si="1">T2/W2</f>
        <v>0</v>
      </c>
      <c r="Z2" t="str">
        <f t="shared" ref="Z2:Z23" si="2">A2&amp;B2</f>
        <v>L01591.5</v>
      </c>
      <c r="AA2" s="46">
        <v>1000</v>
      </c>
      <c r="AB2" s="47">
        <f t="shared" ref="AB2:AB23" si="3">AA2*S2</f>
        <v>0</v>
      </c>
      <c r="AC2" s="48">
        <f t="shared" ref="AC2:AC23" si="4">AA2*T2</f>
        <v>0</v>
      </c>
      <c r="AD2" s="45">
        <f t="shared" ref="AD2:AD23" si="5">U2</f>
        <v>0</v>
      </c>
      <c r="AE2" s="46">
        <v>1000000</v>
      </c>
      <c r="AF2" s="46">
        <f t="shared" ref="AF2:AF23" si="6">AE2*P2</f>
        <v>0</v>
      </c>
      <c r="AG2" s="45">
        <f t="shared" ref="AG2:AG23" si="7">AE2*Q2</f>
        <v>0</v>
      </c>
      <c r="AH2" s="49">
        <f t="shared" ref="AH2:AH23" si="8">R2</f>
        <v>0</v>
      </c>
      <c r="AI2" s="49">
        <f t="shared" ref="AI2:AI23" si="9">B2</f>
        <v>1591.5</v>
      </c>
      <c r="AJ2" s="45"/>
      <c r="AL2" s="3"/>
      <c r="AO2" s="3"/>
    </row>
    <row r="3" spans="1:43" x14ac:dyDescent="0.2">
      <c r="A3" t="s">
        <v>33</v>
      </c>
      <c r="B3">
        <v>1591.5</v>
      </c>
      <c r="C3" t="s">
        <v>32</v>
      </c>
      <c r="D3">
        <v>101493</v>
      </c>
      <c r="E3">
        <v>195221</v>
      </c>
      <c r="F3">
        <v>1591</v>
      </c>
      <c r="G3">
        <v>20</v>
      </c>
      <c r="H3">
        <v>0.5</v>
      </c>
      <c r="I3">
        <v>10</v>
      </c>
      <c r="J3">
        <v>5.0000000000000002E-5</v>
      </c>
      <c r="K3">
        <v>5.0000000000000004E-6</v>
      </c>
      <c r="L3">
        <v>10</v>
      </c>
      <c r="M3">
        <v>4.0000000000000001E-3</v>
      </c>
      <c r="N3">
        <v>4.0000000000000002E-4</v>
      </c>
      <c r="O3">
        <v>10</v>
      </c>
      <c r="P3">
        <v>1.015110327527393E-2</v>
      </c>
      <c r="Q3">
        <v>9.0487916489653559E-7</v>
      </c>
      <c r="R3">
        <v>2.0132931617481038</v>
      </c>
      <c r="S3">
        <v>19.481360888630629</v>
      </c>
      <c r="T3">
        <v>0.11565455076807681</v>
      </c>
      <c r="U3">
        <v>2.0839785698754438</v>
      </c>
      <c r="V3">
        <v>1.9073916064863289E-7</v>
      </c>
      <c r="W3">
        <v>1.638732555744425E-3</v>
      </c>
      <c r="X3" s="45">
        <f t="shared" si="0"/>
        <v>4.7440659894873098</v>
      </c>
      <c r="Y3" s="45">
        <f t="shared" si="1"/>
        <v>70.57561062216071</v>
      </c>
      <c r="Z3" t="str">
        <f t="shared" si="2"/>
        <v>L11591.5</v>
      </c>
      <c r="AA3" s="46">
        <v>1000</v>
      </c>
      <c r="AB3" s="47">
        <f t="shared" si="3"/>
        <v>19481.360888630628</v>
      </c>
      <c r="AC3" s="48">
        <f t="shared" si="4"/>
        <v>115.6545507680768</v>
      </c>
      <c r="AD3" s="45">
        <f t="shared" si="5"/>
        <v>2.0839785698754438</v>
      </c>
      <c r="AE3" s="46">
        <v>1000000</v>
      </c>
      <c r="AF3" s="46">
        <f t="shared" si="6"/>
        <v>10151.10327527393</v>
      </c>
      <c r="AG3" s="45">
        <f t="shared" si="7"/>
        <v>0.90487916489653564</v>
      </c>
      <c r="AH3" s="49">
        <f t="shared" si="8"/>
        <v>2.0132931617481038</v>
      </c>
      <c r="AI3" s="49">
        <f t="shared" si="9"/>
        <v>1591.5</v>
      </c>
      <c r="AJ3" s="45"/>
    </row>
    <row r="4" spans="1:43" x14ac:dyDescent="0.2">
      <c r="A4" t="s">
        <v>34</v>
      </c>
      <c r="B4">
        <v>1591.5</v>
      </c>
      <c r="C4" t="s">
        <v>32</v>
      </c>
      <c r="D4">
        <v>199887</v>
      </c>
      <c r="E4">
        <v>280480</v>
      </c>
      <c r="F4">
        <v>1591</v>
      </c>
      <c r="G4">
        <v>20</v>
      </c>
      <c r="H4">
        <v>0.5</v>
      </c>
      <c r="I4">
        <v>10</v>
      </c>
      <c r="J4">
        <v>5.0000000000000002E-5</v>
      </c>
      <c r="K4">
        <v>5.0000000000000004E-6</v>
      </c>
      <c r="L4">
        <v>10</v>
      </c>
      <c r="M4">
        <v>4.0000000000000001E-3</v>
      </c>
      <c r="N4">
        <v>4.0000000000000002E-4</v>
      </c>
      <c r="O4">
        <v>10</v>
      </c>
      <c r="P4">
        <v>1.999254238915019E-2</v>
      </c>
      <c r="Q4">
        <v>1.633088703620666E-6</v>
      </c>
      <c r="R4">
        <v>2.034817596035746</v>
      </c>
      <c r="S4">
        <v>28.007768974809199</v>
      </c>
      <c r="T4">
        <v>0.1662208054387844</v>
      </c>
      <c r="U4">
        <v>2.0839695275722012</v>
      </c>
      <c r="V4">
        <v>3.0811191884754571E-7</v>
      </c>
      <c r="W4">
        <v>2.394070744810991E-3</v>
      </c>
      <c r="X4" s="45">
        <f t="shared" si="0"/>
        <v>5.3003100617757051</v>
      </c>
      <c r="Y4" s="45">
        <f t="shared" si="1"/>
        <v>69.430197833150217</v>
      </c>
      <c r="Z4" t="str">
        <f t="shared" si="2"/>
        <v>L21591.5</v>
      </c>
      <c r="AA4" s="46">
        <v>1000</v>
      </c>
      <c r="AB4" s="47">
        <f t="shared" si="3"/>
        <v>28007.768974809198</v>
      </c>
      <c r="AC4" s="48">
        <f t="shared" si="4"/>
        <v>166.2208054387844</v>
      </c>
      <c r="AD4" s="45">
        <f t="shared" si="5"/>
        <v>2.0839695275722012</v>
      </c>
      <c r="AE4" s="46">
        <v>1000000</v>
      </c>
      <c r="AF4" s="46">
        <f t="shared" si="6"/>
        <v>19992.542389150189</v>
      </c>
      <c r="AG4" s="45">
        <f t="shared" si="7"/>
        <v>1.633088703620666</v>
      </c>
      <c r="AH4" s="49">
        <f t="shared" si="8"/>
        <v>2.034817596035746</v>
      </c>
      <c r="AI4" s="49">
        <f t="shared" si="9"/>
        <v>1591.5</v>
      </c>
      <c r="AJ4" s="45"/>
    </row>
    <row r="5" spans="1:43" x14ac:dyDescent="0.2">
      <c r="A5" t="s">
        <v>35</v>
      </c>
      <c r="B5">
        <v>1591.5</v>
      </c>
      <c r="C5" t="s">
        <v>32</v>
      </c>
      <c r="D5">
        <v>292655</v>
      </c>
      <c r="E5">
        <v>345191</v>
      </c>
      <c r="F5">
        <v>1591</v>
      </c>
      <c r="G5">
        <v>20</v>
      </c>
      <c r="H5">
        <v>0.5</v>
      </c>
      <c r="I5">
        <v>10</v>
      </c>
      <c r="J5">
        <v>5.0000000000000002E-5</v>
      </c>
      <c r="K5">
        <v>5.0000000000000004E-6</v>
      </c>
      <c r="L5">
        <v>10</v>
      </c>
      <c r="M5">
        <v>4.0000000000000001E-3</v>
      </c>
      <c r="N5">
        <v>4.0000000000000002E-4</v>
      </c>
      <c r="O5">
        <v>10</v>
      </c>
      <c r="P5">
        <v>2.9271264909995709E-2</v>
      </c>
      <c r="Q5">
        <v>2.3493936712427651E-6</v>
      </c>
      <c r="R5">
        <v>2.0412320957337848</v>
      </c>
      <c r="S5">
        <v>34.479254608756371</v>
      </c>
      <c r="T5">
        <v>0.20463645743156089</v>
      </c>
      <c r="U5">
        <v>2.0838421523914432</v>
      </c>
      <c r="V5">
        <v>4.3003673216936102E-7</v>
      </c>
      <c r="W5">
        <v>3.2221185478346348E-3</v>
      </c>
      <c r="X5" s="45">
        <f t="shared" si="0"/>
        <v>5.4632395223334207</v>
      </c>
      <c r="Y5" s="45">
        <f t="shared" si="1"/>
        <v>63.509909518718061</v>
      </c>
      <c r="Z5" t="str">
        <f t="shared" si="2"/>
        <v>L31591.5</v>
      </c>
      <c r="AA5" s="46">
        <v>1000</v>
      </c>
      <c r="AB5" s="47">
        <f t="shared" si="3"/>
        <v>34479.254608756368</v>
      </c>
      <c r="AC5" s="48">
        <f t="shared" si="4"/>
        <v>204.6364574315609</v>
      </c>
      <c r="AD5" s="45">
        <f t="shared" si="5"/>
        <v>2.0838421523914432</v>
      </c>
      <c r="AE5" s="46">
        <v>1000000</v>
      </c>
      <c r="AF5" s="46">
        <f t="shared" si="6"/>
        <v>29271.264909995709</v>
      </c>
      <c r="AG5" s="45">
        <f t="shared" si="7"/>
        <v>2.349393671242765</v>
      </c>
      <c r="AH5" s="49">
        <f t="shared" si="8"/>
        <v>2.0412320957337848</v>
      </c>
      <c r="AI5" s="49">
        <f t="shared" si="9"/>
        <v>1591.5</v>
      </c>
      <c r="AJ5" s="45"/>
      <c r="AK5" s="45"/>
      <c r="AL5" s="46"/>
      <c r="AN5" s="45"/>
      <c r="AQ5" s="45"/>
    </row>
    <row r="6" spans="1:43" x14ac:dyDescent="0.2">
      <c r="A6" t="s">
        <v>36</v>
      </c>
      <c r="B6">
        <v>1591.5</v>
      </c>
      <c r="C6" t="s">
        <v>32</v>
      </c>
      <c r="D6">
        <v>393464</v>
      </c>
      <c r="E6">
        <v>405970</v>
      </c>
      <c r="F6">
        <v>1591</v>
      </c>
      <c r="G6">
        <v>20</v>
      </c>
      <c r="H6">
        <v>0.5</v>
      </c>
      <c r="I6">
        <v>10</v>
      </c>
      <c r="J6">
        <v>5.0000000000000002E-5</v>
      </c>
      <c r="K6">
        <v>5.0000000000000004E-6</v>
      </c>
      <c r="L6">
        <v>10</v>
      </c>
      <c r="M6">
        <v>4.0000000000000001E-3</v>
      </c>
      <c r="N6">
        <v>4.0000000000000002E-4</v>
      </c>
      <c r="O6">
        <v>10</v>
      </c>
      <c r="P6">
        <v>3.9354254072249031E-2</v>
      </c>
      <c r="Q6">
        <v>3.1365374869846311E-6</v>
      </c>
      <c r="R6">
        <v>2.044069971958014</v>
      </c>
      <c r="S6">
        <v>40.557516810633572</v>
      </c>
      <c r="T6">
        <v>0.2407470875699412</v>
      </c>
      <c r="U6">
        <v>2.083675416420204</v>
      </c>
      <c r="V6">
        <v>5.6657890090802855E-7</v>
      </c>
      <c r="W6">
        <v>4.1702645227959844E-3</v>
      </c>
      <c r="X6" s="45">
        <f t="shared" si="0"/>
        <v>5.5359235614984152</v>
      </c>
      <c r="Y6" s="45">
        <f t="shared" si="1"/>
        <v>57.729452473324294</v>
      </c>
      <c r="Z6" t="str">
        <f t="shared" si="2"/>
        <v>L41591.5</v>
      </c>
      <c r="AA6" s="46">
        <v>1000</v>
      </c>
      <c r="AB6" s="47">
        <f t="shared" si="3"/>
        <v>40557.51681063357</v>
      </c>
      <c r="AC6" s="48">
        <f t="shared" si="4"/>
        <v>240.74708756994121</v>
      </c>
      <c r="AD6" s="45">
        <f t="shared" si="5"/>
        <v>2.083675416420204</v>
      </c>
      <c r="AE6" s="46">
        <v>1000000</v>
      </c>
      <c r="AF6" s="46">
        <f t="shared" si="6"/>
        <v>39354.25407224903</v>
      </c>
      <c r="AG6" s="45">
        <f t="shared" si="7"/>
        <v>3.136537486984631</v>
      </c>
      <c r="AH6" s="49">
        <f t="shared" si="8"/>
        <v>2.044069971958014</v>
      </c>
      <c r="AI6" s="49">
        <f t="shared" si="9"/>
        <v>1591.5</v>
      </c>
      <c r="AJ6" s="45"/>
      <c r="AL6" s="46"/>
    </row>
    <row r="7" spans="1:43" x14ac:dyDescent="0.2">
      <c r="A7" t="s">
        <v>37</v>
      </c>
      <c r="B7">
        <v>1591.5</v>
      </c>
      <c r="C7" t="s">
        <v>32</v>
      </c>
      <c r="D7">
        <v>490515</v>
      </c>
      <c r="E7">
        <v>459475</v>
      </c>
      <c r="F7">
        <v>1591</v>
      </c>
      <c r="G7">
        <v>20</v>
      </c>
      <c r="H7">
        <v>0.5</v>
      </c>
      <c r="I7">
        <v>10</v>
      </c>
      <c r="J7">
        <v>5.0000000000000002E-5</v>
      </c>
      <c r="K7">
        <v>5.0000000000000004E-6</v>
      </c>
      <c r="L7">
        <v>10</v>
      </c>
      <c r="M7">
        <v>4.0000000000000001E-3</v>
      </c>
      <c r="N7">
        <v>4.0000000000000002E-4</v>
      </c>
      <c r="O7">
        <v>10</v>
      </c>
      <c r="P7">
        <v>4.9061365353839433E-2</v>
      </c>
      <c r="Q7">
        <v>3.8978708864843707E-6</v>
      </c>
      <c r="R7">
        <v>2.0453976365274049</v>
      </c>
      <c r="S7">
        <v>45.908335664373162</v>
      </c>
      <c r="T7">
        <v>0.27255691293735201</v>
      </c>
      <c r="U7">
        <v>2.0835124565903742</v>
      </c>
      <c r="V7">
        <v>6.9978204793974202E-7</v>
      </c>
      <c r="W7">
        <v>5.105343952611279E-3</v>
      </c>
      <c r="X7" s="45">
        <f t="shared" si="0"/>
        <v>5.5701212941375928</v>
      </c>
      <c r="Y7" s="45">
        <f t="shared" si="1"/>
        <v>53.38659167085985</v>
      </c>
      <c r="Z7" t="str">
        <f t="shared" si="2"/>
        <v>L51591.5</v>
      </c>
      <c r="AA7" s="46">
        <v>1000</v>
      </c>
      <c r="AB7" s="47">
        <f t="shared" si="3"/>
        <v>45908.33566437316</v>
      </c>
      <c r="AC7" s="48">
        <f t="shared" si="4"/>
        <v>272.55691293735202</v>
      </c>
      <c r="AD7" s="45">
        <f t="shared" si="5"/>
        <v>2.0835124565903742</v>
      </c>
      <c r="AE7" s="46">
        <v>1000000</v>
      </c>
      <c r="AF7" s="46">
        <f t="shared" si="6"/>
        <v>49061.365353839436</v>
      </c>
      <c r="AG7" s="45">
        <f t="shared" si="7"/>
        <v>3.897870886484371</v>
      </c>
      <c r="AH7" s="49">
        <f t="shared" si="8"/>
        <v>2.0453976365274049</v>
      </c>
      <c r="AI7" s="49">
        <f t="shared" si="9"/>
        <v>1591.5</v>
      </c>
      <c r="AJ7" s="45"/>
      <c r="AK7" s="45"/>
      <c r="AL7" s="46"/>
      <c r="AN7" s="45"/>
      <c r="AQ7" s="45"/>
    </row>
    <row r="8" spans="1:43" x14ac:dyDescent="0.2">
      <c r="A8" t="s">
        <v>38</v>
      </c>
      <c r="B8">
        <v>1591.5</v>
      </c>
      <c r="C8" t="s">
        <v>32</v>
      </c>
      <c r="D8">
        <v>590969</v>
      </c>
      <c r="E8">
        <v>510603</v>
      </c>
      <c r="F8">
        <v>1591</v>
      </c>
      <c r="G8">
        <v>20</v>
      </c>
      <c r="H8">
        <v>0.5</v>
      </c>
      <c r="I8">
        <v>10</v>
      </c>
      <c r="J8">
        <v>5.0000000000000002E-5</v>
      </c>
      <c r="K8">
        <v>5.0000000000000004E-6</v>
      </c>
      <c r="L8">
        <v>10</v>
      </c>
      <c r="M8">
        <v>4.0000000000000001E-3</v>
      </c>
      <c r="N8">
        <v>4.0000000000000002E-4</v>
      </c>
      <c r="O8">
        <v>10</v>
      </c>
      <c r="P8">
        <v>5.9108847159084953E-2</v>
      </c>
      <c r="Q8">
        <v>4.6877011315534844E-6</v>
      </c>
      <c r="R8">
        <v>2.0461689482591869</v>
      </c>
      <c r="S8">
        <v>51.021440352794777</v>
      </c>
      <c r="T8">
        <v>0.30297343157416112</v>
      </c>
      <c r="U8">
        <v>2.0833438552215919</v>
      </c>
      <c r="V8">
        <v>8.3857762460826266E-7</v>
      </c>
      <c r="W8">
        <v>6.0852447403188584E-3</v>
      </c>
      <c r="X8" s="45">
        <f t="shared" si="0"/>
        <v>5.5900622601793373</v>
      </c>
      <c r="Y8" s="45">
        <f t="shared" si="1"/>
        <v>49.788208117047027</v>
      </c>
      <c r="Z8" t="str">
        <f t="shared" si="2"/>
        <v>L61591.5</v>
      </c>
      <c r="AA8" s="46">
        <v>1000</v>
      </c>
      <c r="AB8" s="47">
        <f t="shared" si="3"/>
        <v>51021.44035279478</v>
      </c>
      <c r="AC8" s="48">
        <f t="shared" si="4"/>
        <v>302.97343157416111</v>
      </c>
      <c r="AD8" s="45">
        <f t="shared" si="5"/>
        <v>2.0833438552215919</v>
      </c>
      <c r="AE8" s="46">
        <v>1000000</v>
      </c>
      <c r="AF8" s="46">
        <f t="shared" si="6"/>
        <v>59108.847159084951</v>
      </c>
      <c r="AG8" s="45">
        <f t="shared" si="7"/>
        <v>4.6877011315534842</v>
      </c>
      <c r="AH8" s="49">
        <f t="shared" si="8"/>
        <v>2.0461689482591869</v>
      </c>
      <c r="AI8" s="49">
        <f t="shared" si="9"/>
        <v>1591.5</v>
      </c>
      <c r="AJ8" s="45"/>
      <c r="AL8" s="46"/>
    </row>
    <row r="9" spans="1:43" x14ac:dyDescent="0.2">
      <c r="A9" t="s">
        <v>39</v>
      </c>
      <c r="B9">
        <v>1591.5</v>
      </c>
      <c r="C9" t="s">
        <v>32</v>
      </c>
      <c r="D9">
        <v>689431</v>
      </c>
      <c r="E9">
        <v>557663</v>
      </c>
      <c r="F9">
        <v>1591</v>
      </c>
      <c r="G9">
        <v>20</v>
      </c>
      <c r="H9">
        <v>0.5</v>
      </c>
      <c r="I9">
        <v>10</v>
      </c>
      <c r="J9">
        <v>5.0000000000000002E-5</v>
      </c>
      <c r="K9">
        <v>5.0000000000000004E-6</v>
      </c>
      <c r="L9">
        <v>10</v>
      </c>
      <c r="M9">
        <v>4.0000000000000001E-3</v>
      </c>
      <c r="N9">
        <v>4.0000000000000002E-4</v>
      </c>
      <c r="O9">
        <v>10</v>
      </c>
      <c r="P9">
        <v>6.8957087682190873E-2</v>
      </c>
      <c r="Q9">
        <v>5.4628843174280477E-6</v>
      </c>
      <c r="R9">
        <v>2.0466333178051541</v>
      </c>
      <c r="S9">
        <v>55.727720798678057</v>
      </c>
      <c r="T9">
        <v>0.33098666253323622</v>
      </c>
      <c r="U9">
        <v>2.083181568819501</v>
      </c>
      <c r="V9">
        <v>9.7514937629904112E-7</v>
      </c>
      <c r="W9">
        <v>7.0527335111225543E-3</v>
      </c>
      <c r="X9" s="45">
        <f t="shared" si="0"/>
        <v>5.6020999963730578</v>
      </c>
      <c r="Y9" s="45">
        <f t="shared" si="1"/>
        <v>46.930266401141033</v>
      </c>
      <c r="Z9" t="str">
        <f t="shared" si="2"/>
        <v>L71591.5</v>
      </c>
      <c r="AA9" s="46">
        <v>1000</v>
      </c>
      <c r="AB9" s="47">
        <f t="shared" si="3"/>
        <v>55727.720798678056</v>
      </c>
      <c r="AC9" s="48">
        <f t="shared" si="4"/>
        <v>330.9866625332362</v>
      </c>
      <c r="AD9" s="45">
        <f t="shared" si="5"/>
        <v>2.083181568819501</v>
      </c>
      <c r="AE9" s="46">
        <v>1000000</v>
      </c>
      <c r="AF9" s="46">
        <f t="shared" si="6"/>
        <v>68957.087682190875</v>
      </c>
      <c r="AG9" s="45">
        <f t="shared" si="7"/>
        <v>5.4628843174280473</v>
      </c>
      <c r="AH9" s="49">
        <f t="shared" si="8"/>
        <v>2.0466333178051541</v>
      </c>
      <c r="AI9" s="49">
        <f t="shared" si="9"/>
        <v>1591.5</v>
      </c>
      <c r="AJ9" s="45"/>
      <c r="AK9" s="45"/>
      <c r="AL9" s="46"/>
      <c r="AN9" s="45"/>
      <c r="AQ9" s="45"/>
    </row>
    <row r="10" spans="1:43" x14ac:dyDescent="0.2">
      <c r="A10" t="s">
        <v>40</v>
      </c>
      <c r="B10">
        <v>1591.5</v>
      </c>
      <c r="C10" t="s">
        <v>32</v>
      </c>
      <c r="D10">
        <v>788816</v>
      </c>
      <c r="E10">
        <v>603296</v>
      </c>
      <c r="F10">
        <v>1591</v>
      </c>
      <c r="G10">
        <v>20</v>
      </c>
      <c r="H10">
        <v>0.5</v>
      </c>
      <c r="I10">
        <v>10</v>
      </c>
      <c r="J10">
        <v>5.0000000000000002E-5</v>
      </c>
      <c r="K10">
        <v>5.0000000000000004E-6</v>
      </c>
      <c r="L10">
        <v>10</v>
      </c>
      <c r="M10">
        <v>4.0000000000000001E-3</v>
      </c>
      <c r="N10">
        <v>4.0000000000000002E-4</v>
      </c>
      <c r="O10">
        <v>10</v>
      </c>
      <c r="P10">
        <v>7.889764733351709E-2</v>
      </c>
      <c r="Q10">
        <v>6.2459725693895656E-6</v>
      </c>
      <c r="R10">
        <v>2.0469426563637012</v>
      </c>
      <c r="S10">
        <v>60.291292740603112</v>
      </c>
      <c r="T10">
        <v>0.35816321872820012</v>
      </c>
      <c r="U10">
        <v>2.0830244451597739</v>
      </c>
      <c r="V10">
        <v>1.113337346131819E-6</v>
      </c>
      <c r="W10">
        <v>8.0338376324720021E-3</v>
      </c>
      <c r="X10" s="45">
        <f t="shared" si="0"/>
        <v>5.6101347817807268</v>
      </c>
      <c r="Y10" s="45">
        <f t="shared" si="1"/>
        <v>44.581834375210512</v>
      </c>
      <c r="Z10" t="str">
        <f t="shared" si="2"/>
        <v>L81591.5</v>
      </c>
      <c r="AA10" s="46">
        <v>1000</v>
      </c>
      <c r="AB10" s="47">
        <f t="shared" si="3"/>
        <v>60291.292740603109</v>
      </c>
      <c r="AC10" s="48">
        <f t="shared" si="4"/>
        <v>358.16321872820009</v>
      </c>
      <c r="AD10" s="45">
        <f t="shared" si="5"/>
        <v>2.0830244451597739</v>
      </c>
      <c r="AE10" s="46">
        <v>1000000</v>
      </c>
      <c r="AF10" s="46">
        <f t="shared" si="6"/>
        <v>78897.647333517089</v>
      </c>
      <c r="AG10" s="45">
        <f t="shared" si="7"/>
        <v>6.2459725693895658</v>
      </c>
      <c r="AH10" s="49">
        <f t="shared" si="8"/>
        <v>2.0469426563637012</v>
      </c>
      <c r="AI10" s="49">
        <f t="shared" si="9"/>
        <v>1591.5</v>
      </c>
      <c r="AJ10" s="45"/>
      <c r="AK10" s="49"/>
      <c r="AL10" s="46"/>
    </row>
    <row r="11" spans="1:43" x14ac:dyDescent="0.2">
      <c r="A11" t="s">
        <v>41</v>
      </c>
      <c r="B11">
        <v>1591.5</v>
      </c>
      <c r="C11" t="s">
        <v>32</v>
      </c>
      <c r="D11">
        <v>889889</v>
      </c>
      <c r="E11">
        <v>648646</v>
      </c>
      <c r="F11">
        <v>1591</v>
      </c>
      <c r="G11">
        <v>20</v>
      </c>
      <c r="H11">
        <v>0.5</v>
      </c>
      <c r="I11">
        <v>10</v>
      </c>
      <c r="J11">
        <v>5.0000000000000002E-5</v>
      </c>
      <c r="K11">
        <v>5.0000000000000004E-6</v>
      </c>
      <c r="L11">
        <v>10</v>
      </c>
      <c r="M11">
        <v>4.0000000000000001E-3</v>
      </c>
      <c r="N11">
        <v>4.0000000000000002E-4</v>
      </c>
      <c r="O11">
        <v>10</v>
      </c>
      <c r="P11">
        <v>8.9007041966897335E-2</v>
      </c>
      <c r="Q11">
        <v>7.0428021520031991E-6</v>
      </c>
      <c r="R11">
        <v>2.047160203206265</v>
      </c>
      <c r="S11">
        <v>64.826562996038874</v>
      </c>
      <c r="T11">
        <v>0.38518057513812831</v>
      </c>
      <c r="U11">
        <v>2.082874124873725</v>
      </c>
      <c r="V11">
        <v>1.254106196738434E-6</v>
      </c>
      <c r="W11">
        <v>9.0348242264743899E-3</v>
      </c>
      <c r="X11" s="45">
        <f t="shared" si="0"/>
        <v>5.615794077343276</v>
      </c>
      <c r="Y11" s="45">
        <f t="shared" si="1"/>
        <v>42.632879786354763</v>
      </c>
      <c r="Z11" t="str">
        <f t="shared" si="2"/>
        <v>L91591.5</v>
      </c>
      <c r="AA11" s="46">
        <v>1000</v>
      </c>
      <c r="AB11" s="47">
        <f t="shared" si="3"/>
        <v>64826.562996038876</v>
      </c>
      <c r="AC11" s="48">
        <f t="shared" si="4"/>
        <v>385.18057513812829</v>
      </c>
      <c r="AD11" s="45">
        <f t="shared" si="5"/>
        <v>2.082874124873725</v>
      </c>
      <c r="AE11" s="46">
        <v>1000000</v>
      </c>
      <c r="AF11" s="46">
        <f t="shared" si="6"/>
        <v>89007.041966897334</v>
      </c>
      <c r="AG11" s="45">
        <f t="shared" si="7"/>
        <v>7.0428021520031994</v>
      </c>
      <c r="AH11" s="49">
        <f t="shared" si="8"/>
        <v>2.047160203206265</v>
      </c>
      <c r="AI11" s="49">
        <f t="shared" si="9"/>
        <v>1591.5</v>
      </c>
      <c r="AJ11" s="45"/>
      <c r="AK11" s="49"/>
      <c r="AL11" s="46"/>
      <c r="AN11" s="45"/>
      <c r="AQ11" s="45"/>
    </row>
    <row r="12" spans="1:43" x14ac:dyDescent="0.2">
      <c r="A12" t="s">
        <v>42</v>
      </c>
      <c r="B12">
        <v>1591.5</v>
      </c>
      <c r="C12" t="s">
        <v>32</v>
      </c>
      <c r="D12">
        <v>1011051</v>
      </c>
      <c r="E12">
        <v>699208</v>
      </c>
      <c r="F12">
        <v>1591</v>
      </c>
      <c r="G12">
        <v>20</v>
      </c>
      <c r="H12">
        <v>0.5</v>
      </c>
      <c r="I12">
        <v>10</v>
      </c>
      <c r="J12">
        <v>5.0000000000000002E-5</v>
      </c>
      <c r="K12">
        <v>5.0000000000000004E-6</v>
      </c>
      <c r="L12">
        <v>10</v>
      </c>
      <c r="M12">
        <v>4.0000000000000001E-3</v>
      </c>
      <c r="N12">
        <v>4.0000000000000002E-4</v>
      </c>
      <c r="O12">
        <v>10</v>
      </c>
      <c r="P12">
        <v>0.10112575292402361</v>
      </c>
      <c r="Q12">
        <v>7.9983839498913764E-6</v>
      </c>
      <c r="R12">
        <v>2.0473437441453228</v>
      </c>
      <c r="S12">
        <v>69.883064311481959</v>
      </c>
      <c r="T12">
        <v>0.41532675332615382</v>
      </c>
      <c r="U12">
        <v>2.0826911340722631</v>
      </c>
      <c r="V12">
        <v>1.4230536113347781E-6</v>
      </c>
      <c r="W12">
        <v>1.023735100888104E-2</v>
      </c>
      <c r="X12" s="45">
        <f t="shared" si="0"/>
        <v>5.6205780907924838</v>
      </c>
      <c r="Y12" s="45">
        <f t="shared" si="1"/>
        <v>40.569748264551272</v>
      </c>
      <c r="Z12" t="str">
        <f t="shared" si="2"/>
        <v>L101591.5</v>
      </c>
      <c r="AA12" s="46">
        <v>1000</v>
      </c>
      <c r="AB12" s="47">
        <f t="shared" si="3"/>
        <v>69883.064311481954</v>
      </c>
      <c r="AC12" s="48">
        <f t="shared" si="4"/>
        <v>415.32675332615383</v>
      </c>
      <c r="AD12" s="45">
        <f t="shared" si="5"/>
        <v>2.0826911340722631</v>
      </c>
      <c r="AE12" s="46">
        <v>1000000</v>
      </c>
      <c r="AF12" s="46">
        <f t="shared" si="6"/>
        <v>101125.7529240236</v>
      </c>
      <c r="AG12" s="45">
        <f t="shared" si="7"/>
        <v>7.9983839498913767</v>
      </c>
      <c r="AH12" s="49">
        <f t="shared" si="8"/>
        <v>2.0473437441453228</v>
      </c>
      <c r="AI12" s="49">
        <f t="shared" si="9"/>
        <v>1591.5</v>
      </c>
      <c r="AJ12" s="45"/>
      <c r="AK12" s="49"/>
      <c r="AL12" s="46"/>
    </row>
    <row r="13" spans="1:43" x14ac:dyDescent="0.2">
      <c r="A13" t="s">
        <v>31</v>
      </c>
      <c r="B13">
        <v>1591.5</v>
      </c>
      <c r="C13" t="s">
        <v>43</v>
      </c>
      <c r="D13">
        <v>0</v>
      </c>
      <c r="E13">
        <v>10</v>
      </c>
      <c r="F13">
        <v>1591</v>
      </c>
      <c r="G13">
        <v>20</v>
      </c>
      <c r="H13">
        <v>0.5</v>
      </c>
      <c r="I13">
        <v>10</v>
      </c>
      <c r="J13">
        <v>5.0000000000000002E-5</v>
      </c>
      <c r="K13">
        <v>5.0000000000000004E-6</v>
      </c>
      <c r="L13">
        <v>10</v>
      </c>
      <c r="M13">
        <v>4.0000000000000001E-3</v>
      </c>
      <c r="N13">
        <v>4.0000000000000002E-4</v>
      </c>
      <c r="O13">
        <v>10</v>
      </c>
      <c r="P13">
        <v>0</v>
      </c>
      <c r="Q13">
        <v>0</v>
      </c>
      <c r="R13">
        <v>0</v>
      </c>
      <c r="S13">
        <v>0</v>
      </c>
      <c r="T13">
        <v>0</v>
      </c>
      <c r="U13">
        <v>0</v>
      </c>
      <c r="V13">
        <v>1.257071024552665E-6</v>
      </c>
      <c r="W13">
        <v>1.257071024590853E-2</v>
      </c>
      <c r="X13" s="45">
        <f t="shared" si="0"/>
        <v>0</v>
      </c>
      <c r="Y13" s="45">
        <f t="shared" si="1"/>
        <v>0</v>
      </c>
      <c r="Z13" t="str">
        <f t="shared" si="2"/>
        <v>L01591.5</v>
      </c>
      <c r="AA13" s="46">
        <v>1000</v>
      </c>
      <c r="AB13" s="47">
        <f t="shared" si="3"/>
        <v>0</v>
      </c>
      <c r="AC13" s="48">
        <f t="shared" si="4"/>
        <v>0</v>
      </c>
      <c r="AD13" s="45">
        <f t="shared" si="5"/>
        <v>0</v>
      </c>
      <c r="AE13" s="46">
        <v>1000000</v>
      </c>
      <c r="AF13" s="46">
        <f t="shared" si="6"/>
        <v>0</v>
      </c>
      <c r="AG13" s="45">
        <f t="shared" si="7"/>
        <v>0</v>
      </c>
      <c r="AH13" s="49">
        <f t="shared" si="8"/>
        <v>0</v>
      </c>
      <c r="AI13" s="49">
        <f t="shared" si="9"/>
        <v>1591.5</v>
      </c>
      <c r="AJ13" s="45"/>
      <c r="AK13" s="49"/>
      <c r="AL13" s="46"/>
      <c r="AN13" s="45"/>
      <c r="AQ13" s="45"/>
    </row>
    <row r="14" spans="1:43" x14ac:dyDescent="0.2">
      <c r="A14" t="s">
        <v>33</v>
      </c>
      <c r="B14">
        <v>1591.5</v>
      </c>
      <c r="C14" t="s">
        <v>43</v>
      </c>
      <c r="D14">
        <v>103928</v>
      </c>
      <c r="E14">
        <v>168318</v>
      </c>
      <c r="F14">
        <v>1591</v>
      </c>
      <c r="G14">
        <v>20</v>
      </c>
      <c r="H14">
        <v>0.5</v>
      </c>
      <c r="I14">
        <v>10</v>
      </c>
      <c r="J14">
        <v>5.0000000000000002E-5</v>
      </c>
      <c r="K14">
        <v>5.0000000000000004E-6</v>
      </c>
      <c r="L14">
        <v>10</v>
      </c>
      <c r="M14">
        <v>4.0000000000000001E-3</v>
      </c>
      <c r="N14">
        <v>4.0000000000000002E-4</v>
      </c>
      <c r="O14">
        <v>10</v>
      </c>
      <c r="P14">
        <v>0.1039495380030218</v>
      </c>
      <c r="Q14">
        <v>9.2127802111401954E-6</v>
      </c>
      <c r="R14">
        <v>2.014351693243627</v>
      </c>
      <c r="S14">
        <v>168.3180300224661</v>
      </c>
      <c r="T14">
        <v>0.99854349177636392</v>
      </c>
      <c r="U14">
        <v>2.083739747960252</v>
      </c>
      <c r="V14">
        <v>1.9303992206188621E-6</v>
      </c>
      <c r="W14">
        <v>1.6481242321263599E-2</v>
      </c>
      <c r="X14" s="45">
        <f t="shared" si="0"/>
        <v>4.7724740627416393</v>
      </c>
      <c r="Y14" s="45">
        <f t="shared" si="1"/>
        <v>60.586664057968093</v>
      </c>
      <c r="Z14" t="str">
        <f t="shared" si="2"/>
        <v>L11591.5</v>
      </c>
      <c r="AA14" s="46">
        <v>1</v>
      </c>
      <c r="AB14" s="47">
        <f t="shared" si="3"/>
        <v>168.3180300224661</v>
      </c>
      <c r="AC14" s="48">
        <f t="shared" si="4"/>
        <v>0.99854349177636392</v>
      </c>
      <c r="AD14" s="45">
        <f t="shared" si="5"/>
        <v>2.083739747960252</v>
      </c>
      <c r="AE14" s="46">
        <v>1000000</v>
      </c>
      <c r="AF14" s="46">
        <f t="shared" si="6"/>
        <v>103949.53800302179</v>
      </c>
      <c r="AG14" s="45">
        <f t="shared" si="7"/>
        <v>9.2127802111401955</v>
      </c>
      <c r="AH14" s="49">
        <f t="shared" si="8"/>
        <v>2.014351693243627</v>
      </c>
      <c r="AI14" s="49">
        <f t="shared" si="9"/>
        <v>1591.5</v>
      </c>
      <c r="AJ14" s="45"/>
      <c r="AK14" s="49"/>
    </row>
    <row r="15" spans="1:43" x14ac:dyDescent="0.2">
      <c r="A15" t="s">
        <v>34</v>
      </c>
      <c r="B15">
        <v>1591.5</v>
      </c>
      <c r="C15" t="s">
        <v>43</v>
      </c>
      <c r="D15">
        <v>207818</v>
      </c>
      <c r="E15">
        <v>244214</v>
      </c>
      <c r="F15">
        <v>1591</v>
      </c>
      <c r="G15">
        <v>20</v>
      </c>
      <c r="H15">
        <v>0.5</v>
      </c>
      <c r="I15">
        <v>10</v>
      </c>
      <c r="J15">
        <v>5.0000000000000002E-5</v>
      </c>
      <c r="K15">
        <v>5.0000000000000004E-6</v>
      </c>
      <c r="L15">
        <v>10</v>
      </c>
      <c r="M15">
        <v>4.0000000000000001E-3</v>
      </c>
      <c r="N15">
        <v>4.0000000000000002E-4</v>
      </c>
      <c r="O15">
        <v>10</v>
      </c>
      <c r="P15">
        <v>0.20786106813093669</v>
      </c>
      <c r="Q15">
        <v>1.693114481587059E-5</v>
      </c>
      <c r="R15">
        <v>2.0357958421772882</v>
      </c>
      <c r="S15">
        <v>244.218552912555</v>
      </c>
      <c r="T15">
        <v>1.448872668200865</v>
      </c>
      <c r="U15">
        <v>2.0837100495495848</v>
      </c>
      <c r="V15">
        <v>3.1793544912996669E-6</v>
      </c>
      <c r="W15">
        <v>2.4531121446780629E-2</v>
      </c>
      <c r="X15" s="45">
        <f t="shared" si="0"/>
        <v>5.3253403677390567</v>
      </c>
      <c r="Y15" s="45">
        <f t="shared" si="1"/>
        <v>59.062634838938827</v>
      </c>
      <c r="Z15" t="str">
        <f t="shared" si="2"/>
        <v>L21591.5</v>
      </c>
      <c r="AA15" s="46">
        <v>1</v>
      </c>
      <c r="AB15" s="47">
        <f t="shared" si="3"/>
        <v>244.218552912555</v>
      </c>
      <c r="AC15" s="48">
        <f t="shared" si="4"/>
        <v>1.448872668200865</v>
      </c>
      <c r="AD15" s="45">
        <f t="shared" si="5"/>
        <v>2.0837100495495848</v>
      </c>
      <c r="AE15" s="46">
        <v>1000000</v>
      </c>
      <c r="AF15" s="46">
        <f t="shared" si="6"/>
        <v>207861.06813093668</v>
      </c>
      <c r="AG15" s="45">
        <f t="shared" si="7"/>
        <v>16.931144815870589</v>
      </c>
      <c r="AH15" s="49">
        <f t="shared" si="8"/>
        <v>2.0357958421772882</v>
      </c>
      <c r="AI15" s="49">
        <f t="shared" si="9"/>
        <v>1591.5</v>
      </c>
      <c r="AJ15" s="45"/>
      <c r="AK15" s="49"/>
    </row>
    <row r="16" spans="1:43" x14ac:dyDescent="0.2">
      <c r="A16" t="s">
        <v>35</v>
      </c>
      <c r="B16">
        <v>1591.5</v>
      </c>
      <c r="C16" t="s">
        <v>43</v>
      </c>
      <c r="D16">
        <v>304591</v>
      </c>
      <c r="E16">
        <v>301974</v>
      </c>
      <c r="F16">
        <v>1591</v>
      </c>
      <c r="G16">
        <v>20</v>
      </c>
      <c r="H16">
        <v>0.5</v>
      </c>
      <c r="I16">
        <v>10</v>
      </c>
      <c r="J16">
        <v>5.0000000000000002E-5</v>
      </c>
      <c r="K16">
        <v>5.0000000000000004E-6</v>
      </c>
      <c r="L16">
        <v>10</v>
      </c>
      <c r="M16">
        <v>4.0000000000000001E-3</v>
      </c>
      <c r="N16">
        <v>4.0000000000000002E-4</v>
      </c>
      <c r="O16">
        <v>10</v>
      </c>
      <c r="P16">
        <v>0.30465412333421621</v>
      </c>
      <c r="Q16">
        <v>2.441621048120397E-5</v>
      </c>
      <c r="R16">
        <v>2.041816406543167</v>
      </c>
      <c r="S16">
        <v>301.98199501927388</v>
      </c>
      <c r="T16">
        <v>1.7920232255709541</v>
      </c>
      <c r="U16">
        <v>2.0835303735492099</v>
      </c>
      <c r="V16">
        <v>4.4567922499860069E-6</v>
      </c>
      <c r="W16">
        <v>3.3227084451300473E-2</v>
      </c>
      <c r="X16" s="45">
        <f t="shared" si="0"/>
        <v>5.4784268845559563</v>
      </c>
      <c r="Y16" s="45">
        <f t="shared" si="1"/>
        <v>53.932605137156898</v>
      </c>
      <c r="Z16" t="str">
        <f t="shared" si="2"/>
        <v>L31591.5</v>
      </c>
      <c r="AA16" s="46">
        <v>1</v>
      </c>
      <c r="AB16" s="47">
        <f t="shared" si="3"/>
        <v>301.98199501927388</v>
      </c>
      <c r="AC16" s="48">
        <f t="shared" si="4"/>
        <v>1.7920232255709541</v>
      </c>
      <c r="AD16" s="45">
        <f t="shared" si="5"/>
        <v>2.0835303735492099</v>
      </c>
      <c r="AE16" s="46">
        <v>1000000</v>
      </c>
      <c r="AF16" s="46">
        <f t="shared" si="6"/>
        <v>304654.12333421619</v>
      </c>
      <c r="AG16" s="45">
        <f t="shared" si="7"/>
        <v>24.416210481203969</v>
      </c>
      <c r="AH16" s="49">
        <f t="shared" si="8"/>
        <v>2.041816406543167</v>
      </c>
      <c r="AI16" s="49">
        <f t="shared" si="9"/>
        <v>1591.5</v>
      </c>
      <c r="AJ16" s="45"/>
      <c r="AK16" s="49"/>
    </row>
    <row r="17" spans="1:37" x14ac:dyDescent="0.2">
      <c r="A17" t="s">
        <v>36</v>
      </c>
      <c r="B17">
        <v>1591.5</v>
      </c>
      <c r="C17" t="s">
        <v>43</v>
      </c>
      <c r="D17">
        <v>399423</v>
      </c>
      <c r="E17">
        <v>351053</v>
      </c>
      <c r="F17">
        <v>1591</v>
      </c>
      <c r="G17">
        <v>20</v>
      </c>
      <c r="H17">
        <v>0.5</v>
      </c>
      <c r="I17">
        <v>10</v>
      </c>
      <c r="J17">
        <v>5.0000000000000002E-5</v>
      </c>
      <c r="K17">
        <v>5.0000000000000004E-6</v>
      </c>
      <c r="L17">
        <v>10</v>
      </c>
      <c r="M17">
        <v>4.0000000000000001E-3</v>
      </c>
      <c r="N17">
        <v>4.0000000000000002E-4</v>
      </c>
      <c r="O17">
        <v>10</v>
      </c>
      <c r="P17">
        <v>0.39950577628532241</v>
      </c>
      <c r="Q17">
        <v>3.1825386678292678E-5</v>
      </c>
      <c r="R17">
        <v>2.0442688084098828</v>
      </c>
      <c r="S17">
        <v>351.06391979689948</v>
      </c>
      <c r="T17">
        <v>2.0839128165476808</v>
      </c>
      <c r="U17">
        <v>2.0833210259081421</v>
      </c>
      <c r="V17">
        <v>5.7433469383431919E-6</v>
      </c>
      <c r="W17">
        <v>4.2169052358880993E-2</v>
      </c>
      <c r="X17" s="45">
        <f t="shared" si="0"/>
        <v>5.5412613968734901</v>
      </c>
      <c r="Y17" s="45">
        <f t="shared" si="1"/>
        <v>49.418061350121832</v>
      </c>
      <c r="Z17" t="str">
        <f t="shared" si="2"/>
        <v>L41591.5</v>
      </c>
      <c r="AA17" s="46">
        <v>1</v>
      </c>
      <c r="AB17" s="47">
        <f t="shared" si="3"/>
        <v>351.06391979689948</v>
      </c>
      <c r="AC17" s="48">
        <f t="shared" si="4"/>
        <v>2.0839128165476808</v>
      </c>
      <c r="AD17" s="45">
        <f t="shared" si="5"/>
        <v>2.0833210259081421</v>
      </c>
      <c r="AE17" s="46">
        <v>1000000</v>
      </c>
      <c r="AF17" s="46">
        <f t="shared" si="6"/>
        <v>399505.77628532238</v>
      </c>
      <c r="AG17" s="45">
        <f t="shared" si="7"/>
        <v>31.825386678292677</v>
      </c>
      <c r="AH17" s="49">
        <f t="shared" si="8"/>
        <v>2.0442688084098828</v>
      </c>
      <c r="AI17" s="49">
        <f t="shared" si="9"/>
        <v>1591.5</v>
      </c>
      <c r="AJ17" s="45"/>
      <c r="AK17" s="49"/>
    </row>
    <row r="18" spans="1:37" x14ac:dyDescent="0.2">
      <c r="A18" t="s">
        <v>37</v>
      </c>
      <c r="B18">
        <v>1591.5</v>
      </c>
      <c r="C18" t="s">
        <v>43</v>
      </c>
      <c r="D18">
        <v>495475</v>
      </c>
      <c r="E18">
        <v>396953</v>
      </c>
      <c r="F18">
        <v>1591</v>
      </c>
      <c r="G18">
        <v>20</v>
      </c>
      <c r="H18">
        <v>0.5</v>
      </c>
      <c r="I18">
        <v>10</v>
      </c>
      <c r="J18">
        <v>5.0000000000000002E-5</v>
      </c>
      <c r="K18">
        <v>5.0000000000000004E-6</v>
      </c>
      <c r="L18">
        <v>10</v>
      </c>
      <c r="M18">
        <v>4.0000000000000001E-3</v>
      </c>
      <c r="N18">
        <v>4.0000000000000002E-4</v>
      </c>
      <c r="O18">
        <v>10</v>
      </c>
      <c r="P18">
        <v>0.49557768206880948</v>
      </c>
      <c r="Q18">
        <v>3.9361503630242807E-5</v>
      </c>
      <c r="R18">
        <v>2.0455224323829428</v>
      </c>
      <c r="S18">
        <v>396.96665512755038</v>
      </c>
      <c r="T18">
        <v>2.3571162063089082</v>
      </c>
      <c r="U18">
        <v>2.08310855370538</v>
      </c>
      <c r="V18">
        <v>7.0622147278979909E-6</v>
      </c>
      <c r="W18">
        <v>5.1428424794961888E-2</v>
      </c>
      <c r="X18" s="45">
        <f t="shared" si="0"/>
        <v>5.5735353776135366</v>
      </c>
      <c r="Y18" s="45">
        <f t="shared" si="1"/>
        <v>45.832945801984188</v>
      </c>
      <c r="Z18" t="str">
        <f t="shared" si="2"/>
        <v>L51591.5</v>
      </c>
      <c r="AA18" s="46">
        <v>1</v>
      </c>
      <c r="AB18" s="47">
        <f t="shared" si="3"/>
        <v>396.96665512755038</v>
      </c>
      <c r="AC18" s="48">
        <f t="shared" si="4"/>
        <v>2.3571162063089082</v>
      </c>
      <c r="AD18" s="45">
        <f t="shared" si="5"/>
        <v>2.08310855370538</v>
      </c>
      <c r="AE18" s="46">
        <v>1000000</v>
      </c>
      <c r="AF18" s="46">
        <f t="shared" si="6"/>
        <v>495577.68206880946</v>
      </c>
      <c r="AG18" s="45">
        <f t="shared" si="7"/>
        <v>39.361503630242808</v>
      </c>
      <c r="AH18" s="49">
        <f t="shared" si="8"/>
        <v>2.0455224323829428</v>
      </c>
      <c r="AI18" s="49">
        <f t="shared" si="9"/>
        <v>1591.5</v>
      </c>
      <c r="AJ18" s="45"/>
      <c r="AK18" s="49"/>
    </row>
    <row r="19" spans="1:37" x14ac:dyDescent="0.2">
      <c r="A19" t="s">
        <v>38</v>
      </c>
      <c r="B19">
        <v>1591.5</v>
      </c>
      <c r="C19" t="s">
        <v>43</v>
      </c>
      <c r="D19">
        <v>593476</v>
      </c>
      <c r="E19">
        <v>440533</v>
      </c>
      <c r="F19">
        <v>1591</v>
      </c>
      <c r="G19">
        <v>20</v>
      </c>
      <c r="H19">
        <v>0.5</v>
      </c>
      <c r="I19">
        <v>10</v>
      </c>
      <c r="J19">
        <v>5.0000000000000002E-5</v>
      </c>
      <c r="K19">
        <v>5.0000000000000004E-6</v>
      </c>
      <c r="L19">
        <v>10</v>
      </c>
      <c r="M19">
        <v>4.0000000000000001E-3</v>
      </c>
      <c r="N19">
        <v>4.0000000000000002E-4</v>
      </c>
      <c r="O19">
        <v>10</v>
      </c>
      <c r="P19">
        <v>0.59359899176238728</v>
      </c>
      <c r="Q19">
        <v>4.7067333814818508E-5</v>
      </c>
      <c r="R19">
        <v>2.046248789906902</v>
      </c>
      <c r="S19">
        <v>440.54925220183719</v>
      </c>
      <c r="T19">
        <v>2.6167185992532871</v>
      </c>
      <c r="U19">
        <v>2.0828942249541238</v>
      </c>
      <c r="V19">
        <v>8.4164620576626412E-6</v>
      </c>
      <c r="W19">
        <v>6.0989035961428822E-2</v>
      </c>
      <c r="X19" s="45">
        <f t="shared" si="0"/>
        <v>5.5922944216170691</v>
      </c>
      <c r="Y19" s="45">
        <f t="shared" si="1"/>
        <v>42.904737843506389</v>
      </c>
      <c r="Z19" t="str">
        <f t="shared" si="2"/>
        <v>L61591.5</v>
      </c>
      <c r="AA19" s="46">
        <v>1</v>
      </c>
      <c r="AB19" s="47">
        <f t="shared" si="3"/>
        <v>440.54925220183719</v>
      </c>
      <c r="AC19" s="48">
        <f t="shared" si="4"/>
        <v>2.6167185992532871</v>
      </c>
      <c r="AD19" s="45">
        <f t="shared" si="5"/>
        <v>2.0828942249541238</v>
      </c>
      <c r="AE19" s="46">
        <v>1000000</v>
      </c>
      <c r="AF19" s="46">
        <f t="shared" si="6"/>
        <v>593598.99176238733</v>
      </c>
      <c r="AG19" s="45">
        <f t="shared" si="7"/>
        <v>47.067333814818511</v>
      </c>
      <c r="AH19" s="49">
        <f t="shared" si="8"/>
        <v>2.046248789906902</v>
      </c>
      <c r="AI19" s="49">
        <f t="shared" si="9"/>
        <v>1591.5</v>
      </c>
      <c r="AJ19" s="45"/>
      <c r="AK19" s="49"/>
    </row>
    <row r="20" spans="1:37" x14ac:dyDescent="0.2">
      <c r="A20" t="s">
        <v>39</v>
      </c>
      <c r="B20">
        <v>1591.5</v>
      </c>
      <c r="C20" t="s">
        <v>43</v>
      </c>
      <c r="D20">
        <v>691330</v>
      </c>
      <c r="E20">
        <v>482103</v>
      </c>
      <c r="F20">
        <v>1591</v>
      </c>
      <c r="G20">
        <v>20</v>
      </c>
      <c r="H20">
        <v>0.5</v>
      </c>
      <c r="I20">
        <v>10</v>
      </c>
      <c r="J20">
        <v>5.0000000000000002E-5</v>
      </c>
      <c r="K20">
        <v>5.0000000000000004E-6</v>
      </c>
      <c r="L20">
        <v>10</v>
      </c>
      <c r="M20">
        <v>4.0000000000000001E-3</v>
      </c>
      <c r="N20">
        <v>4.0000000000000002E-4</v>
      </c>
      <c r="O20">
        <v>10</v>
      </c>
      <c r="P20">
        <v>0.6914732709917355</v>
      </c>
      <c r="Q20">
        <v>5.477142649724626E-5</v>
      </c>
      <c r="R20">
        <v>2.0466972617279588</v>
      </c>
      <c r="S20">
        <v>482.12172949367078</v>
      </c>
      <c r="T20">
        <v>2.8645038761304922</v>
      </c>
      <c r="U20">
        <v>2.082689571447216</v>
      </c>
      <c r="V20">
        <v>9.7738014266224475E-6</v>
      </c>
      <c r="W20">
        <v>7.0604079188374733E-2</v>
      </c>
      <c r="X20" s="45">
        <f t="shared" si="0"/>
        <v>5.603902116126144</v>
      </c>
      <c r="Y20" s="45">
        <f t="shared" si="1"/>
        <v>40.571365125913928</v>
      </c>
      <c r="Z20" t="str">
        <f t="shared" si="2"/>
        <v>L71591.5</v>
      </c>
      <c r="AA20" s="46">
        <v>1</v>
      </c>
      <c r="AB20" s="47">
        <f t="shared" si="3"/>
        <v>482.12172949367078</v>
      </c>
      <c r="AC20" s="48">
        <f t="shared" si="4"/>
        <v>2.8645038761304922</v>
      </c>
      <c r="AD20" s="45">
        <f t="shared" si="5"/>
        <v>2.082689571447216</v>
      </c>
      <c r="AE20" s="46">
        <v>1000000</v>
      </c>
      <c r="AF20" s="46">
        <f t="shared" si="6"/>
        <v>691473.27099173551</v>
      </c>
      <c r="AG20" s="45">
        <f t="shared" si="7"/>
        <v>54.77142649724626</v>
      </c>
      <c r="AH20" s="49">
        <f t="shared" si="8"/>
        <v>2.0466972617279588</v>
      </c>
      <c r="AI20" s="49">
        <f t="shared" si="9"/>
        <v>1591.5</v>
      </c>
    </row>
    <row r="21" spans="1:37" x14ac:dyDescent="0.2">
      <c r="A21" t="s">
        <v>40</v>
      </c>
      <c r="B21">
        <v>1591.5</v>
      </c>
      <c r="C21" t="s">
        <v>43</v>
      </c>
      <c r="D21">
        <v>785060</v>
      </c>
      <c r="E21">
        <v>521293</v>
      </c>
      <c r="F21">
        <v>1591</v>
      </c>
      <c r="G21">
        <v>20</v>
      </c>
      <c r="H21">
        <v>0.5</v>
      </c>
      <c r="I21">
        <v>10</v>
      </c>
      <c r="J21">
        <v>5.0000000000000002E-5</v>
      </c>
      <c r="K21">
        <v>5.0000000000000004E-6</v>
      </c>
      <c r="L21">
        <v>10</v>
      </c>
      <c r="M21">
        <v>4.0000000000000001E-3</v>
      </c>
      <c r="N21">
        <v>4.0000000000000002E-4</v>
      </c>
      <c r="O21">
        <v>10</v>
      </c>
      <c r="P21">
        <v>0.78522269556474011</v>
      </c>
      <c r="Q21">
        <v>6.2156705806586536E-5</v>
      </c>
      <c r="R21">
        <v>2.0469831968435992</v>
      </c>
      <c r="S21">
        <v>521.31406495354463</v>
      </c>
      <c r="T21">
        <v>3.0981861441195662</v>
      </c>
      <c r="U21">
        <v>2.0825090233386878</v>
      </c>
      <c r="V21">
        <v>1.1077032271392119E-5</v>
      </c>
      <c r="W21">
        <v>7.9856359881386244E-2</v>
      </c>
      <c r="X21" s="45">
        <f t="shared" si="0"/>
        <v>5.611313958804141</v>
      </c>
      <c r="Y21" s="45">
        <f t="shared" si="1"/>
        <v>38.796986848904993</v>
      </c>
      <c r="Z21" t="str">
        <f t="shared" si="2"/>
        <v>L81591.5</v>
      </c>
      <c r="AA21" s="46">
        <v>1</v>
      </c>
      <c r="AB21" s="47">
        <f t="shared" si="3"/>
        <v>521.31406495354463</v>
      </c>
      <c r="AC21" s="48">
        <f t="shared" si="4"/>
        <v>3.0981861441195662</v>
      </c>
      <c r="AD21" s="45">
        <f t="shared" si="5"/>
        <v>2.0825090233386878</v>
      </c>
      <c r="AE21" s="46">
        <v>1000000</v>
      </c>
      <c r="AF21" s="46">
        <f t="shared" si="6"/>
        <v>785222.6955647401</v>
      </c>
      <c r="AG21" s="45">
        <f t="shared" si="7"/>
        <v>62.156705806586537</v>
      </c>
      <c r="AH21" s="49">
        <f t="shared" si="8"/>
        <v>2.0469831968435992</v>
      </c>
      <c r="AI21" s="49">
        <f t="shared" si="9"/>
        <v>1591.5</v>
      </c>
    </row>
    <row r="22" spans="1:37" x14ac:dyDescent="0.2">
      <c r="A22" t="s">
        <v>41</v>
      </c>
      <c r="B22">
        <v>1591.5</v>
      </c>
      <c r="C22" t="s">
        <v>43</v>
      </c>
      <c r="D22">
        <v>880750</v>
      </c>
      <c r="E22">
        <v>560533</v>
      </c>
      <c r="F22">
        <v>1591</v>
      </c>
      <c r="G22">
        <v>20</v>
      </c>
      <c r="H22">
        <v>0.5</v>
      </c>
      <c r="I22">
        <v>10</v>
      </c>
      <c r="J22">
        <v>5.0000000000000002E-5</v>
      </c>
      <c r="K22">
        <v>5.0000000000000004E-6</v>
      </c>
      <c r="L22">
        <v>10</v>
      </c>
      <c r="M22">
        <v>4.0000000000000001E-3</v>
      </c>
      <c r="N22">
        <v>4.0000000000000002E-4</v>
      </c>
      <c r="O22">
        <v>10</v>
      </c>
      <c r="P22">
        <v>0.88093252632747154</v>
      </c>
      <c r="Q22">
        <v>6.9700391453936066E-5</v>
      </c>
      <c r="R22">
        <v>2.0471884562732932</v>
      </c>
      <c r="S22">
        <v>560.5564033930815</v>
      </c>
      <c r="T22">
        <v>3.3322519298386521</v>
      </c>
      <c r="U22">
        <v>2.082336887700647</v>
      </c>
      <c r="V22">
        <v>1.2409621951474771E-5</v>
      </c>
      <c r="W22">
        <v>8.933103556640945E-2</v>
      </c>
      <c r="X22" s="45">
        <f t="shared" si="0"/>
        <v>5.616641000546581</v>
      </c>
      <c r="Y22" s="45">
        <f t="shared" si="1"/>
        <v>37.302287035074478</v>
      </c>
      <c r="Z22" t="str">
        <f t="shared" si="2"/>
        <v>L91591.5</v>
      </c>
      <c r="AA22" s="46">
        <v>1</v>
      </c>
      <c r="AB22" s="47">
        <f t="shared" si="3"/>
        <v>560.5564033930815</v>
      </c>
      <c r="AC22" s="48">
        <f t="shared" si="4"/>
        <v>3.3322519298386521</v>
      </c>
      <c r="AD22" s="45">
        <f t="shared" si="5"/>
        <v>2.082336887700647</v>
      </c>
      <c r="AE22" s="46">
        <v>1000000</v>
      </c>
      <c r="AF22" s="46">
        <f t="shared" si="6"/>
        <v>880932.5263274716</v>
      </c>
      <c r="AG22" s="45">
        <f t="shared" si="7"/>
        <v>69.700391453936064</v>
      </c>
      <c r="AH22" s="49">
        <f t="shared" si="8"/>
        <v>2.0471884562732932</v>
      </c>
      <c r="AI22" s="49">
        <f t="shared" si="9"/>
        <v>1591.5</v>
      </c>
    </row>
    <row r="23" spans="1:37" x14ac:dyDescent="0.2">
      <c r="A23" t="s">
        <v>42</v>
      </c>
      <c r="B23">
        <v>1591.5</v>
      </c>
      <c r="C23" t="s">
        <v>43</v>
      </c>
      <c r="D23">
        <v>988170</v>
      </c>
      <c r="E23">
        <v>601673</v>
      </c>
      <c r="F23">
        <v>1591</v>
      </c>
      <c r="G23">
        <v>20</v>
      </c>
      <c r="H23">
        <v>0.5</v>
      </c>
      <c r="I23">
        <v>10</v>
      </c>
      <c r="J23">
        <v>5.0000000000000002E-5</v>
      </c>
      <c r="K23">
        <v>5.0000000000000004E-6</v>
      </c>
      <c r="L23">
        <v>10</v>
      </c>
      <c r="M23">
        <v>4.0000000000000001E-3</v>
      </c>
      <c r="N23">
        <v>4.0000000000000002E-4</v>
      </c>
      <c r="O23">
        <v>10</v>
      </c>
      <c r="P23">
        <v>0.98837478801137402</v>
      </c>
      <c r="Q23">
        <v>7.817198711224468E-5</v>
      </c>
      <c r="R23">
        <v>2.047354274682037</v>
      </c>
      <c r="S23">
        <v>601.69885505981301</v>
      </c>
      <c r="T23">
        <v>3.5778719483191548</v>
      </c>
      <c r="U23">
        <v>2.0821396953531859</v>
      </c>
      <c r="V23">
        <v>1.390725301907764E-5</v>
      </c>
      <c r="W23">
        <v>9.9989161747857866E-2</v>
      </c>
      <c r="X23" s="45">
        <f t="shared" si="0"/>
        <v>5.6209509530753632</v>
      </c>
      <c r="Y23" s="45">
        <f t="shared" si="1"/>
        <v>35.782597691352343</v>
      </c>
      <c r="Z23" t="str">
        <f t="shared" si="2"/>
        <v>L101591.5</v>
      </c>
      <c r="AA23" s="46">
        <v>1</v>
      </c>
      <c r="AB23" s="47">
        <f t="shared" si="3"/>
        <v>601.69885505981301</v>
      </c>
      <c r="AC23" s="48">
        <f t="shared" si="4"/>
        <v>3.5778719483191548</v>
      </c>
      <c r="AD23" s="45">
        <f t="shared" si="5"/>
        <v>2.0821396953531859</v>
      </c>
      <c r="AE23" s="46">
        <v>1000000</v>
      </c>
      <c r="AF23" s="46">
        <f t="shared" si="6"/>
        <v>988374.78801137407</v>
      </c>
      <c r="AG23" s="45">
        <f t="shared" si="7"/>
        <v>78.171987112244679</v>
      </c>
      <c r="AH23" s="49">
        <f t="shared" si="8"/>
        <v>2.047354274682037</v>
      </c>
      <c r="AI23" s="49">
        <f t="shared" si="9"/>
        <v>1591.5</v>
      </c>
      <c r="AK23" s="45"/>
    </row>
  </sheetData>
  <pageMargins left="0.7" right="0.7" top="0.75" bottom="0.75"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5"/>
  <sheetViews>
    <sheetView showGridLines="0" topLeftCell="A3" zoomScale="130" zoomScaleNormal="130" workbookViewId="0">
      <selection activeCell="L16" sqref="L16:Q25"/>
    </sheetView>
  </sheetViews>
  <sheetFormatPr defaultColWidth="8.7109375" defaultRowHeight="12.75" x14ac:dyDescent="0.2"/>
  <cols>
    <col min="3" max="3" width="6.7109375" customWidth="1"/>
    <col min="4" max="5" width="10.7109375" customWidth="1"/>
    <col min="7" max="8" width="10.7109375" customWidth="1"/>
    <col min="11" max="11" width="6.7109375" customWidth="1"/>
    <col min="12" max="13" width="10.7109375" customWidth="1"/>
    <col min="15" max="16" width="10.7109375" customWidth="1"/>
  </cols>
  <sheetData>
    <row r="1" spans="1:21" x14ac:dyDescent="0.2">
      <c r="C1" t="s">
        <v>269</v>
      </c>
      <c r="K1" t="s">
        <v>270</v>
      </c>
    </row>
    <row r="3" spans="1:21" ht="42.75" customHeight="1" x14ac:dyDescent="0.2">
      <c r="C3" s="50" t="s">
        <v>76</v>
      </c>
      <c r="D3" s="50" t="s">
        <v>77</v>
      </c>
      <c r="E3" s="50" t="s">
        <v>78</v>
      </c>
      <c r="F3" s="50" t="s">
        <v>79</v>
      </c>
      <c r="G3" s="50" t="s">
        <v>80</v>
      </c>
      <c r="H3" s="50" t="s">
        <v>81</v>
      </c>
      <c r="I3" s="50" t="s">
        <v>79</v>
      </c>
      <c r="K3" s="63" t="s">
        <v>76</v>
      </c>
      <c r="L3" s="63" t="s">
        <v>77</v>
      </c>
      <c r="M3" s="63" t="s">
        <v>78</v>
      </c>
      <c r="N3" s="63" t="s">
        <v>79</v>
      </c>
      <c r="O3" s="63" t="s">
        <v>80</v>
      </c>
      <c r="P3" s="63" t="s">
        <v>81</v>
      </c>
      <c r="Q3" s="63" t="s">
        <v>79</v>
      </c>
      <c r="R3" s="70"/>
      <c r="S3" s="70" t="s">
        <v>129</v>
      </c>
      <c r="T3" s="70" t="s">
        <v>130</v>
      </c>
      <c r="U3" s="70"/>
    </row>
    <row r="4" spans="1:21" x14ac:dyDescent="0.2">
      <c r="A4" t="s">
        <v>42</v>
      </c>
      <c r="C4" s="51">
        <v>10</v>
      </c>
      <c r="D4" s="52">
        <f t="shared" ref="D4:D13" si="0">VLOOKUP(A4, inductor1,16,FALSE())*1000</f>
        <v>101.1257529240236</v>
      </c>
      <c r="E4" s="52">
        <f t="shared" ref="E4:E13" si="1">VLOOKUP(A4,inductor1,17,FALSE())*1000</f>
        <v>7.9983839498913769E-3</v>
      </c>
      <c r="F4" s="53">
        <f t="shared" ref="F4:F13" si="2">VLOOKUP(A4,inductor1,18,FALSE())</f>
        <v>2.0473437441453228</v>
      </c>
      <c r="G4" s="54">
        <f t="shared" ref="G4:G13" si="3">VLOOKUP(A4,inductor1,19,FALSE())</f>
        <v>69.883064311481959</v>
      </c>
      <c r="H4" s="54">
        <f t="shared" ref="H4:H13" si="4">VLOOKUP(A4,inductor1,20,FALSE())</f>
        <v>0.41532675332615382</v>
      </c>
      <c r="I4" s="53">
        <f t="shared" ref="I4:I13" si="5">VLOOKUP(A4,inductor1,21,FALSE())</f>
        <v>2.0826911340722631</v>
      </c>
      <c r="K4" s="64">
        <v>10</v>
      </c>
      <c r="L4" s="65">
        <v>101.12314815915271</v>
      </c>
      <c r="M4" s="65">
        <v>7.9573524575094166E-3</v>
      </c>
      <c r="N4" s="66">
        <v>2.04954158513149</v>
      </c>
      <c r="O4" s="67">
        <v>69.737413824158736</v>
      </c>
      <c r="P4" s="67">
        <v>0.41444928307726248</v>
      </c>
      <c r="Q4" s="66">
        <v>2.0826831729007358</v>
      </c>
      <c r="R4" s="66"/>
      <c r="S4" s="66">
        <f>(D4-L4)/E4</f>
        <v>0.32566139450341236</v>
      </c>
      <c r="T4" s="66">
        <f>(G4-O4)/H4</f>
        <v>0.3506889121800561</v>
      </c>
      <c r="U4" s="66"/>
    </row>
    <row r="5" spans="1:21" x14ac:dyDescent="0.2">
      <c r="A5" t="s">
        <v>41</v>
      </c>
      <c r="C5" s="51">
        <v>9</v>
      </c>
      <c r="D5" s="52">
        <f t="shared" si="0"/>
        <v>89.007041966897333</v>
      </c>
      <c r="E5" s="52">
        <f t="shared" si="1"/>
        <v>7.042802152003199E-3</v>
      </c>
      <c r="F5" s="53">
        <f t="shared" si="2"/>
        <v>2.047160203206265</v>
      </c>
      <c r="G5" s="54">
        <f t="shared" si="3"/>
        <v>64.826562996038874</v>
      </c>
      <c r="H5" s="54">
        <f t="shared" si="4"/>
        <v>0.38518057513812831</v>
      </c>
      <c r="I5" s="53">
        <f t="shared" si="5"/>
        <v>2.082874124873725</v>
      </c>
      <c r="K5" s="64">
        <v>9</v>
      </c>
      <c r="L5" s="65">
        <v>89.005149839409128</v>
      </c>
      <c r="M5" s="65">
        <v>7.0067218861666475E-3</v>
      </c>
      <c r="N5" s="66">
        <v>2.049351065057138</v>
      </c>
      <c r="O5" s="67">
        <v>64.674749840099125</v>
      </c>
      <c r="P5" s="67">
        <v>0.38426646417035681</v>
      </c>
      <c r="Q5" s="66">
        <v>2.0828659854930041</v>
      </c>
      <c r="R5" s="66"/>
      <c r="S5" s="66">
        <f t="shared" ref="S5:S13" si="6">(D5-L5)/E5</f>
        <v>0.26866117311935034</v>
      </c>
      <c r="T5" s="66">
        <f t="shared" ref="T5:T13" si="7">(G5-O5)/H5</f>
        <v>0.39413502585198557</v>
      </c>
      <c r="U5" s="66"/>
    </row>
    <row r="6" spans="1:21" x14ac:dyDescent="0.2">
      <c r="A6" t="s">
        <v>40</v>
      </c>
      <c r="C6" s="51">
        <v>8</v>
      </c>
      <c r="D6" s="52">
        <f t="shared" si="0"/>
        <v>78.897647333517085</v>
      </c>
      <c r="E6" s="52">
        <f t="shared" si="1"/>
        <v>6.2459725693895657E-3</v>
      </c>
      <c r="F6" s="53">
        <f t="shared" si="2"/>
        <v>2.0469426563637012</v>
      </c>
      <c r="G6" s="54">
        <f t="shared" si="3"/>
        <v>60.291292740603112</v>
      </c>
      <c r="H6" s="54">
        <f t="shared" si="4"/>
        <v>0.35816321872820012</v>
      </c>
      <c r="I6" s="53">
        <f t="shared" si="5"/>
        <v>2.0830244451597739</v>
      </c>
      <c r="K6" s="64">
        <v>8</v>
      </c>
      <c r="L6" s="65">
        <v>78.895865648305787</v>
      </c>
      <c r="M6" s="65">
        <v>6.2139855559412878E-3</v>
      </c>
      <c r="N6" s="66">
        <v>2.0491252014026329</v>
      </c>
      <c r="O6" s="67">
        <v>60.138723719067343</v>
      </c>
      <c r="P6" s="67">
        <v>0.35724443881511159</v>
      </c>
      <c r="Q6" s="66">
        <v>2.083016390884608</v>
      </c>
      <c r="R6" s="66"/>
      <c r="S6" s="66">
        <f t="shared" si="6"/>
        <v>0.28525344796266872</v>
      </c>
      <c r="T6" s="66">
        <f t="shared" si="7"/>
        <v>0.42597624088125235</v>
      </c>
      <c r="U6" s="66"/>
    </row>
    <row r="7" spans="1:21" x14ac:dyDescent="0.2">
      <c r="A7" t="s">
        <v>39</v>
      </c>
      <c r="C7" s="51">
        <v>7</v>
      </c>
      <c r="D7" s="52">
        <f t="shared" si="0"/>
        <v>68.957087682190874</v>
      </c>
      <c r="E7" s="52">
        <f t="shared" si="1"/>
        <v>5.4628843174280477E-3</v>
      </c>
      <c r="F7" s="53">
        <f t="shared" si="2"/>
        <v>2.0466333178051541</v>
      </c>
      <c r="G7" s="54">
        <f t="shared" si="3"/>
        <v>55.727720798678057</v>
      </c>
      <c r="H7" s="54">
        <f t="shared" si="4"/>
        <v>0.33098666253323622</v>
      </c>
      <c r="I7" s="53">
        <f t="shared" si="5"/>
        <v>2.083181568819501</v>
      </c>
      <c r="K7" s="64">
        <v>7</v>
      </c>
      <c r="L7" s="65">
        <v>68.955716327068998</v>
      </c>
      <c r="M7" s="65">
        <v>5.4349470928983018E-3</v>
      </c>
      <c r="N7" s="66">
        <v>2.0488040062031239</v>
      </c>
      <c r="O7" s="67">
        <v>55.579895958694443</v>
      </c>
      <c r="P7" s="67">
        <v>0.33009572616868421</v>
      </c>
      <c r="Q7" s="66">
        <v>2.0831739313978281</v>
      </c>
      <c r="R7" s="66"/>
      <c r="S7" s="66">
        <f t="shared" si="6"/>
        <v>0.25103133110483572</v>
      </c>
      <c r="T7" s="66">
        <f t="shared" si="7"/>
        <v>0.44661872128690189</v>
      </c>
      <c r="U7" s="66"/>
    </row>
    <row r="8" spans="1:21" x14ac:dyDescent="0.2">
      <c r="A8" t="s">
        <v>38</v>
      </c>
      <c r="C8" s="51">
        <v>6</v>
      </c>
      <c r="D8" s="52">
        <f t="shared" si="0"/>
        <v>59.108847159084952</v>
      </c>
      <c r="E8" s="52">
        <f t="shared" si="1"/>
        <v>4.6877011315534841E-3</v>
      </c>
      <c r="F8" s="53">
        <f t="shared" si="2"/>
        <v>2.0461689482591869</v>
      </c>
      <c r="G8" s="54">
        <f t="shared" si="3"/>
        <v>51.021440352794777</v>
      </c>
      <c r="H8" s="54">
        <f t="shared" si="4"/>
        <v>0.30297343157416112</v>
      </c>
      <c r="I8" s="53">
        <f t="shared" si="5"/>
        <v>2.0833438552215919</v>
      </c>
      <c r="K8" s="64">
        <v>6</v>
      </c>
      <c r="L8" s="65">
        <v>59.106985853294141</v>
      </c>
      <c r="M8" s="65">
        <v>4.6637070875739069E-3</v>
      </c>
      <c r="N8" s="66">
        <v>2.048321802087822</v>
      </c>
      <c r="O8" s="67">
        <v>50.878057916489063</v>
      </c>
      <c r="P8" s="67">
        <v>0.30210854405493431</v>
      </c>
      <c r="Q8" s="66">
        <v>2.0833366879223121</v>
      </c>
      <c r="R8" s="66"/>
      <c r="S8" s="66">
        <f t="shared" si="6"/>
        <v>0.3970615315644922</v>
      </c>
      <c r="T8" s="66">
        <f t="shared" si="7"/>
        <v>0.47325085754464019</v>
      </c>
      <c r="U8" s="66"/>
    </row>
    <row r="9" spans="1:21" x14ac:dyDescent="0.2">
      <c r="A9" t="s">
        <v>37</v>
      </c>
      <c r="C9" s="51">
        <v>5</v>
      </c>
      <c r="D9" s="52">
        <f t="shared" si="0"/>
        <v>49.061365353839435</v>
      </c>
      <c r="E9" s="52">
        <f t="shared" si="1"/>
        <v>3.8978708864843706E-3</v>
      </c>
      <c r="F9" s="53">
        <f t="shared" si="2"/>
        <v>2.0453976365274049</v>
      </c>
      <c r="G9" s="54">
        <f t="shared" si="3"/>
        <v>45.908335664373162</v>
      </c>
      <c r="H9" s="54">
        <f t="shared" si="4"/>
        <v>0.27255691293735201</v>
      </c>
      <c r="I9" s="53">
        <f t="shared" si="5"/>
        <v>2.0835124565903742</v>
      </c>
      <c r="K9" s="64">
        <v>5</v>
      </c>
      <c r="L9" s="65">
        <v>49.060414591467158</v>
      </c>
      <c r="M9" s="65">
        <v>3.8780122529682155E-3</v>
      </c>
      <c r="N9" s="66">
        <v>2.047521039158112</v>
      </c>
      <c r="O9" s="67">
        <v>45.770190682507568</v>
      </c>
      <c r="P9" s="67">
        <v>0.27172280742253802</v>
      </c>
      <c r="Q9" s="66">
        <v>2.0835057518843971</v>
      </c>
      <c r="R9" s="66"/>
      <c r="S9" s="66">
        <f t="shared" si="6"/>
        <v>0.2439183851814026</v>
      </c>
      <c r="T9" s="66">
        <f t="shared" si="7"/>
        <v>0.50684820420367316</v>
      </c>
      <c r="U9" s="66"/>
    </row>
    <row r="10" spans="1:21" x14ac:dyDescent="0.2">
      <c r="A10" t="s">
        <v>36</v>
      </c>
      <c r="C10" s="51">
        <v>4</v>
      </c>
      <c r="D10" s="52">
        <f t="shared" si="0"/>
        <v>39.354254072249034</v>
      </c>
      <c r="E10" s="52">
        <f t="shared" si="1"/>
        <v>3.136537486984631E-3</v>
      </c>
      <c r="F10" s="53">
        <f t="shared" si="2"/>
        <v>2.044069971958014</v>
      </c>
      <c r="G10" s="54">
        <f t="shared" si="3"/>
        <v>40.557516810633572</v>
      </c>
      <c r="H10" s="54">
        <f t="shared" si="4"/>
        <v>0.2407470875699412</v>
      </c>
      <c r="I10" s="53">
        <f t="shared" si="5"/>
        <v>2.083675416420204</v>
      </c>
      <c r="K10" s="64">
        <v>4</v>
      </c>
      <c r="L10" s="65">
        <v>39.355013667378159</v>
      </c>
      <c r="M10" s="65">
        <v>3.1207400886759688E-3</v>
      </c>
      <c r="N10" s="66">
        <v>2.0461434308765609</v>
      </c>
      <c r="O10" s="67">
        <v>40.406805077839387</v>
      </c>
      <c r="P10" s="67">
        <v>0.239838457732994</v>
      </c>
      <c r="Q10" s="66">
        <v>2.0836682583685131</v>
      </c>
      <c r="R10" s="66"/>
      <c r="S10" s="66">
        <f t="shared" si="6"/>
        <v>-0.24217632732816363</v>
      </c>
      <c r="T10" s="66">
        <f t="shared" si="7"/>
        <v>0.62601684745366326</v>
      </c>
      <c r="U10" s="66"/>
    </row>
    <row r="11" spans="1:21" x14ac:dyDescent="0.2">
      <c r="A11" t="s">
        <v>35</v>
      </c>
      <c r="C11" s="51">
        <v>3</v>
      </c>
      <c r="D11" s="52">
        <f t="shared" si="0"/>
        <v>29.271264909995708</v>
      </c>
      <c r="E11" s="52">
        <f t="shared" si="1"/>
        <v>2.3493936712427649E-3</v>
      </c>
      <c r="F11" s="53">
        <f t="shared" si="2"/>
        <v>2.0412320957337848</v>
      </c>
      <c r="G11" s="54">
        <f t="shared" si="3"/>
        <v>34.479254608756371</v>
      </c>
      <c r="H11" s="54">
        <f t="shared" si="4"/>
        <v>0.20463645743156089</v>
      </c>
      <c r="I11" s="53">
        <f t="shared" si="5"/>
        <v>2.0838421523914432</v>
      </c>
      <c r="K11" s="64">
        <v>3</v>
      </c>
      <c r="L11" s="65">
        <v>29.270434569626111</v>
      </c>
      <c r="M11" s="65">
        <v>2.3375661110389069E-3</v>
      </c>
      <c r="N11" s="66">
        <v>2.043197861813792</v>
      </c>
      <c r="O11" s="67">
        <v>34.347769458886823</v>
      </c>
      <c r="P11" s="67">
        <v>0.20384136194144589</v>
      </c>
      <c r="Q11" s="66">
        <v>2.083836165878671</v>
      </c>
      <c r="R11" s="66"/>
      <c r="S11" s="66">
        <f t="shared" si="6"/>
        <v>0.35342751611182499</v>
      </c>
      <c r="T11" s="66">
        <f t="shared" si="7"/>
        <v>0.64253042453846099</v>
      </c>
      <c r="U11" s="66"/>
    </row>
    <row r="12" spans="1:21" x14ac:dyDescent="0.2">
      <c r="A12" t="s">
        <v>34</v>
      </c>
      <c r="C12" s="51">
        <v>2</v>
      </c>
      <c r="D12" s="52">
        <f t="shared" si="0"/>
        <v>19.992542389150191</v>
      </c>
      <c r="E12" s="52">
        <f t="shared" si="1"/>
        <v>1.6330887036206661E-3</v>
      </c>
      <c r="F12" s="53">
        <f t="shared" si="2"/>
        <v>2.034817596035746</v>
      </c>
      <c r="G12" s="54">
        <f t="shared" si="3"/>
        <v>28.007768974809199</v>
      </c>
      <c r="H12" s="54">
        <f t="shared" si="4"/>
        <v>0.1662208054387844</v>
      </c>
      <c r="I12" s="53">
        <f t="shared" si="5"/>
        <v>2.0839695275722012</v>
      </c>
      <c r="K12" s="64">
        <v>2</v>
      </c>
      <c r="L12" s="65">
        <v>19.991621593485661</v>
      </c>
      <c r="M12" s="65">
        <v>1.625048548871491E-3</v>
      </c>
      <c r="N12" s="66">
        <v>2.0365457382933632</v>
      </c>
      <c r="O12" s="67">
        <v>27.902906100556851</v>
      </c>
      <c r="P12" s="67">
        <v>0.16558313530159649</v>
      </c>
      <c r="Q12" s="66">
        <v>2.083964642936917</v>
      </c>
      <c r="R12" s="66"/>
      <c r="S12" s="66">
        <f t="shared" si="6"/>
        <v>0.56383689538054538</v>
      </c>
      <c r="T12" s="66">
        <f t="shared" si="7"/>
        <v>0.63086491474718798</v>
      </c>
      <c r="U12" s="66"/>
    </row>
    <row r="13" spans="1:21" x14ac:dyDescent="0.2">
      <c r="A13" t="s">
        <v>33</v>
      </c>
      <c r="C13" s="51">
        <v>1</v>
      </c>
      <c r="D13" s="52">
        <f t="shared" si="0"/>
        <v>10.151103275273931</v>
      </c>
      <c r="E13" s="52">
        <f t="shared" si="1"/>
        <v>9.0487916489653559E-4</v>
      </c>
      <c r="F13" s="53">
        <f t="shared" si="2"/>
        <v>2.0132931617481038</v>
      </c>
      <c r="G13" s="54">
        <f t="shared" si="3"/>
        <v>19.481360888630629</v>
      </c>
      <c r="H13" s="54">
        <f t="shared" si="4"/>
        <v>0.11565455076807681</v>
      </c>
      <c r="I13" s="53">
        <f t="shared" si="5"/>
        <v>2.0839785698754438</v>
      </c>
      <c r="K13" s="64">
        <v>1</v>
      </c>
      <c r="L13" s="65">
        <v>10.15079274875837</v>
      </c>
      <c r="M13" s="65">
        <v>9.0103747848189878E-4</v>
      </c>
      <c r="N13" s="66">
        <v>2.0142869534625141</v>
      </c>
      <c r="O13" s="67">
        <v>19.40829537408818</v>
      </c>
      <c r="P13" s="67">
        <v>0.11520507651256751</v>
      </c>
      <c r="Q13" s="66">
        <v>2.0839737600385848</v>
      </c>
      <c r="R13" s="66"/>
      <c r="S13" s="66">
        <f t="shared" si="6"/>
        <v>0.34316904135619497</v>
      </c>
      <c r="T13" s="66">
        <f t="shared" si="7"/>
        <v>0.63175650294097152</v>
      </c>
      <c r="U13" s="66"/>
    </row>
    <row r="15" spans="1:21" ht="42.75" customHeight="1" x14ac:dyDescent="0.2">
      <c r="C15" s="50" t="s">
        <v>76</v>
      </c>
      <c r="D15" s="50" t="s">
        <v>77</v>
      </c>
      <c r="E15" s="50" t="s">
        <v>78</v>
      </c>
      <c r="F15" s="50" t="s">
        <v>79</v>
      </c>
      <c r="G15" s="50" t="s">
        <v>80</v>
      </c>
      <c r="H15" s="50" t="s">
        <v>81</v>
      </c>
      <c r="I15" s="50" t="s">
        <v>79</v>
      </c>
      <c r="K15" s="63" t="s">
        <v>76</v>
      </c>
      <c r="L15" s="63" t="s">
        <v>77</v>
      </c>
      <c r="M15" s="63" t="s">
        <v>78</v>
      </c>
      <c r="N15" s="63" t="s">
        <v>79</v>
      </c>
      <c r="O15" s="63" t="s">
        <v>80</v>
      </c>
      <c r="P15" s="63" t="s">
        <v>81</v>
      </c>
      <c r="Q15" s="63" t="s">
        <v>79</v>
      </c>
      <c r="R15" s="70"/>
      <c r="S15" s="70"/>
      <c r="T15" s="70"/>
      <c r="U15" s="70"/>
    </row>
    <row r="16" spans="1:21" x14ac:dyDescent="0.2">
      <c r="A16" t="s">
        <v>42</v>
      </c>
      <c r="C16" s="51">
        <v>10</v>
      </c>
      <c r="D16" s="55">
        <f t="shared" ref="D16:D25" si="8">VLOOKUP(A16, inductor2,16,FALSE())*1000</f>
        <v>988.37478801137399</v>
      </c>
      <c r="E16" s="55">
        <f t="shared" ref="E16:E25" si="9">VLOOKUP(A16,inductor2,17,FALSE())*1000</f>
        <v>7.8171987112244684E-2</v>
      </c>
      <c r="F16" s="53">
        <f t="shared" ref="F16:F25" si="10">VLOOKUP(A16,inductor2,18,FALSE())</f>
        <v>2.047354274682037</v>
      </c>
      <c r="G16" s="56">
        <f t="shared" ref="G16:G25" si="11">VLOOKUP(A16,inductor2,19,FALSE())</f>
        <v>601.69885505981301</v>
      </c>
      <c r="H16" s="56">
        <f t="shared" ref="H16:H25" si="12">VLOOKUP(A16,inductor2,20,FALSE())</f>
        <v>3.5778719483191548</v>
      </c>
      <c r="I16" s="53">
        <f t="shared" ref="I16:I25" si="13">VLOOKUP(A16,inductor2,21,FALSE())</f>
        <v>2.0821396953531859</v>
      </c>
      <c r="K16" s="64">
        <v>10</v>
      </c>
      <c r="L16" s="68">
        <v>988.31175632249801</v>
      </c>
      <c r="M16" s="68">
        <v>7.7767974538571025E-2</v>
      </c>
      <c r="N16" s="66">
        <v>2.049552660936631</v>
      </c>
      <c r="O16" s="69">
        <v>599.66811359298094</v>
      </c>
      <c r="P16" s="69">
        <v>3.565871077966817</v>
      </c>
      <c r="Q16" s="66">
        <v>2.0821234417916621</v>
      </c>
      <c r="R16" s="66"/>
      <c r="S16" s="66">
        <f>(D16-L16)/E16</f>
        <v>0.80632066811191017</v>
      </c>
      <c r="T16" s="66">
        <f>(G16-O16)/H16</f>
        <v>0.56758360728535551</v>
      </c>
      <c r="U16" s="66"/>
    </row>
    <row r="17" spans="1:21" x14ac:dyDescent="0.2">
      <c r="A17" t="s">
        <v>41</v>
      </c>
      <c r="C17" s="51">
        <v>9</v>
      </c>
      <c r="D17" s="55">
        <f t="shared" si="8"/>
        <v>880.93252632747158</v>
      </c>
      <c r="E17" s="55">
        <f t="shared" si="9"/>
        <v>6.970039145393607E-2</v>
      </c>
      <c r="F17" s="53">
        <f t="shared" si="10"/>
        <v>2.0471884562732932</v>
      </c>
      <c r="G17" s="56">
        <f t="shared" si="11"/>
        <v>560.5564033930815</v>
      </c>
      <c r="H17" s="56">
        <f t="shared" si="12"/>
        <v>3.3322519298386521</v>
      </c>
      <c r="I17" s="53">
        <f t="shared" si="13"/>
        <v>2.082336887700647</v>
      </c>
      <c r="K17" s="64">
        <v>9</v>
      </c>
      <c r="L17" s="68">
        <v>880.88060766785395</v>
      </c>
      <c r="M17" s="68">
        <v>6.934066490377723E-2</v>
      </c>
      <c r="N17" s="66">
        <v>2.0493804703377352</v>
      </c>
      <c r="O17" s="69">
        <v>558.6211624913584</v>
      </c>
      <c r="P17" s="69">
        <v>3.3208117106405859</v>
      </c>
      <c r="Q17" s="66">
        <v>2.0823215079996862</v>
      </c>
      <c r="R17" s="66"/>
      <c r="S17" s="66">
        <f t="shared" ref="S17:S25" si="14">(D17-L17)/E17</f>
        <v>0.74488332898301046</v>
      </c>
      <c r="T17" s="66">
        <f t="shared" ref="T17:T25" si="15">(G17-O17)/H17</f>
        <v>0.58076068150609361</v>
      </c>
      <c r="U17" s="66"/>
    </row>
    <row r="18" spans="1:21" x14ac:dyDescent="0.2">
      <c r="A18" t="s">
        <v>40</v>
      </c>
      <c r="C18" s="51">
        <v>8</v>
      </c>
      <c r="D18" s="55">
        <f t="shared" si="8"/>
        <v>785.22269556474009</v>
      </c>
      <c r="E18" s="55">
        <f t="shared" si="9"/>
        <v>6.2156705806586533E-2</v>
      </c>
      <c r="F18" s="53">
        <f t="shared" si="10"/>
        <v>2.0469831968435992</v>
      </c>
      <c r="G18" s="56">
        <f t="shared" si="11"/>
        <v>521.31406495354463</v>
      </c>
      <c r="H18" s="56">
        <f t="shared" si="12"/>
        <v>3.0981861441195662</v>
      </c>
      <c r="I18" s="53">
        <f t="shared" si="13"/>
        <v>2.0825090233386878</v>
      </c>
      <c r="K18" s="64">
        <v>8</v>
      </c>
      <c r="L18" s="68">
        <v>785.17287598367852</v>
      </c>
      <c r="M18" s="68">
        <v>6.1835839466314879E-2</v>
      </c>
      <c r="N18" s="66">
        <v>2.0491671818383379</v>
      </c>
      <c r="O18" s="69">
        <v>519.65836123126678</v>
      </c>
      <c r="P18" s="69">
        <v>3.0883940598674728</v>
      </c>
      <c r="Q18" s="66">
        <v>2.0824959475133791</v>
      </c>
      <c r="R18" s="66"/>
      <c r="S18" s="66">
        <f t="shared" si="14"/>
        <v>0.80151578844274263</v>
      </c>
      <c r="T18" s="66">
        <f t="shared" si="15"/>
        <v>0.53441066651867108</v>
      </c>
      <c r="U18" s="66"/>
    </row>
    <row r="19" spans="1:21" x14ac:dyDescent="0.2">
      <c r="A19" t="s">
        <v>39</v>
      </c>
      <c r="C19" s="51">
        <v>7</v>
      </c>
      <c r="D19" s="55">
        <f t="shared" si="8"/>
        <v>691.47327099173549</v>
      </c>
      <c r="E19" s="55">
        <f t="shared" si="9"/>
        <v>5.4771426497246263E-2</v>
      </c>
      <c r="F19" s="53">
        <f t="shared" si="10"/>
        <v>2.0466972617279588</v>
      </c>
      <c r="G19" s="56">
        <f t="shared" si="11"/>
        <v>482.12172949367078</v>
      </c>
      <c r="H19" s="56">
        <f t="shared" si="12"/>
        <v>2.8645038761304922</v>
      </c>
      <c r="I19" s="53">
        <f t="shared" si="13"/>
        <v>2.082689571447216</v>
      </c>
      <c r="K19" s="64">
        <v>7</v>
      </c>
      <c r="L19" s="68">
        <v>691.42554846827011</v>
      </c>
      <c r="M19" s="68">
        <v>5.4488638920038211E-2</v>
      </c>
      <c r="N19" s="66">
        <v>2.0488700478987938</v>
      </c>
      <c r="O19" s="69">
        <v>480.76456493233889</v>
      </c>
      <c r="P19" s="69">
        <v>2.856472959991518</v>
      </c>
      <c r="Q19" s="66">
        <v>2.082678992581013</v>
      </c>
      <c r="R19" s="66"/>
      <c r="S19" s="66">
        <f t="shared" si="14"/>
        <v>0.87130327832124055</v>
      </c>
      <c r="T19" s="66">
        <f t="shared" si="15"/>
        <v>0.47378695230296619</v>
      </c>
      <c r="U19" s="66"/>
    </row>
    <row r="20" spans="1:21" x14ac:dyDescent="0.2">
      <c r="A20" t="s">
        <v>38</v>
      </c>
      <c r="C20" s="51">
        <v>6</v>
      </c>
      <c r="D20" s="55">
        <f t="shared" si="8"/>
        <v>593.5989917623873</v>
      </c>
      <c r="E20" s="55">
        <f t="shared" si="9"/>
        <v>4.7067333814818507E-2</v>
      </c>
      <c r="F20" s="53">
        <f t="shared" si="10"/>
        <v>2.046248789906902</v>
      </c>
      <c r="G20" s="56">
        <f t="shared" si="11"/>
        <v>440.54925220183719</v>
      </c>
      <c r="H20" s="56">
        <f t="shared" si="12"/>
        <v>2.6167185992532871</v>
      </c>
      <c r="I20" s="53">
        <f t="shared" si="13"/>
        <v>2.0828942249541238</v>
      </c>
      <c r="K20" s="64">
        <v>6</v>
      </c>
      <c r="L20" s="68">
        <v>593.56637322949382</v>
      </c>
      <c r="M20" s="68">
        <v>4.6825280010795847E-2</v>
      </c>
      <c r="N20" s="66">
        <v>2.0484045482604518</v>
      </c>
      <c r="O20" s="69">
        <v>439.00856285295981</v>
      </c>
      <c r="P20" s="69">
        <v>2.607601048686814</v>
      </c>
      <c r="Q20" s="66">
        <v>2.082882318315173</v>
      </c>
      <c r="R20" s="66"/>
      <c r="S20" s="66">
        <f t="shared" si="14"/>
        <v>0.69301849605108334</v>
      </c>
      <c r="T20" s="66">
        <f t="shared" si="15"/>
        <v>0.58878679171579007</v>
      </c>
      <c r="U20" s="66"/>
    </row>
    <row r="21" spans="1:21" x14ac:dyDescent="0.2">
      <c r="A21" t="s">
        <v>37</v>
      </c>
      <c r="C21" s="51">
        <v>5</v>
      </c>
      <c r="D21" s="55">
        <f t="shared" si="8"/>
        <v>495.57768206880945</v>
      </c>
      <c r="E21" s="55">
        <f t="shared" si="9"/>
        <v>3.9361503630242808E-2</v>
      </c>
      <c r="F21" s="53">
        <f t="shared" si="10"/>
        <v>2.0455224323829428</v>
      </c>
      <c r="G21" s="56">
        <f t="shared" si="11"/>
        <v>396.96665512755038</v>
      </c>
      <c r="H21" s="56">
        <f t="shared" si="12"/>
        <v>2.3571162063089082</v>
      </c>
      <c r="I21" s="53">
        <f t="shared" si="13"/>
        <v>2.08310855370538</v>
      </c>
      <c r="K21" s="64">
        <v>5</v>
      </c>
      <c r="L21" s="68">
        <v>495.55216602839141</v>
      </c>
      <c r="M21" s="68">
        <v>3.9159654849586917E-2</v>
      </c>
      <c r="N21" s="66">
        <v>2.0476503622866291</v>
      </c>
      <c r="O21" s="69">
        <v>395.46243207092238</v>
      </c>
      <c r="P21" s="69">
        <v>2.348211517032345</v>
      </c>
      <c r="Q21" s="66">
        <v>2.083097177244265</v>
      </c>
      <c r="R21" s="66"/>
      <c r="S21" s="66">
        <f t="shared" si="14"/>
        <v>0.64824862021874752</v>
      </c>
      <c r="T21" s="66">
        <f t="shared" si="15"/>
        <v>0.63816245147434758</v>
      </c>
      <c r="U21" s="66"/>
    </row>
    <row r="22" spans="1:21" x14ac:dyDescent="0.2">
      <c r="A22" t="s">
        <v>36</v>
      </c>
      <c r="C22" s="51">
        <v>4</v>
      </c>
      <c r="D22" s="55">
        <f t="shared" si="8"/>
        <v>399.50577628532238</v>
      </c>
      <c r="E22" s="55">
        <f t="shared" si="9"/>
        <v>3.1825386678292676E-2</v>
      </c>
      <c r="F22" s="53">
        <f t="shared" si="10"/>
        <v>2.0442688084098828</v>
      </c>
      <c r="G22" s="56">
        <f t="shared" si="11"/>
        <v>351.06391979689948</v>
      </c>
      <c r="H22" s="56">
        <f t="shared" si="12"/>
        <v>2.0839128165476808</v>
      </c>
      <c r="I22" s="53">
        <f t="shared" si="13"/>
        <v>2.0833210259081421</v>
      </c>
      <c r="K22" s="64">
        <v>4</v>
      </c>
      <c r="L22" s="68">
        <v>399.49036134638749</v>
      </c>
      <c r="M22" s="68">
        <v>3.1663220428257165E-2</v>
      </c>
      <c r="N22" s="66">
        <v>2.04634900801102</v>
      </c>
      <c r="O22" s="69">
        <v>349.57113268121259</v>
      </c>
      <c r="P22" s="69">
        <v>2.075073187378782</v>
      </c>
      <c r="Q22" s="66">
        <v>2.083309945099312</v>
      </c>
      <c r="R22" s="66"/>
      <c r="S22" s="66">
        <f t="shared" si="14"/>
        <v>0.48435983168776481</v>
      </c>
      <c r="T22" s="66">
        <f t="shared" si="15"/>
        <v>0.71633856456621059</v>
      </c>
      <c r="U22" s="66"/>
    </row>
    <row r="23" spans="1:21" x14ac:dyDescent="0.2">
      <c r="A23" t="s">
        <v>35</v>
      </c>
      <c r="C23" s="51">
        <v>3</v>
      </c>
      <c r="D23" s="55">
        <f t="shared" si="8"/>
        <v>304.65412333421619</v>
      </c>
      <c r="E23" s="55">
        <f t="shared" si="9"/>
        <v>2.441621048120397E-2</v>
      </c>
      <c r="F23" s="53">
        <f t="shared" si="10"/>
        <v>2.041816406543167</v>
      </c>
      <c r="G23" s="56">
        <f t="shared" si="11"/>
        <v>301.98199501927388</v>
      </c>
      <c r="H23" s="56">
        <f t="shared" si="12"/>
        <v>1.7920232255709541</v>
      </c>
      <c r="I23" s="53">
        <f t="shared" si="13"/>
        <v>2.0835303735492099</v>
      </c>
      <c r="K23" s="64">
        <v>3</v>
      </c>
      <c r="L23" s="68">
        <v>304.6368057643179</v>
      </c>
      <c r="M23" s="68">
        <v>2.4292413347461881E-2</v>
      </c>
      <c r="N23" s="66">
        <v>2.0438030077996991</v>
      </c>
      <c r="O23" s="69">
        <v>300.81162707964597</v>
      </c>
      <c r="P23" s="69">
        <v>1.78508806092601</v>
      </c>
      <c r="Q23" s="66">
        <v>2.0835218948321508</v>
      </c>
      <c r="R23" s="66"/>
      <c r="S23" s="66">
        <f t="shared" si="14"/>
        <v>0.70926526094732378</v>
      </c>
      <c r="T23" s="66">
        <f t="shared" si="15"/>
        <v>0.65309864455301314</v>
      </c>
      <c r="U23" s="66"/>
    </row>
    <row r="24" spans="1:21" x14ac:dyDescent="0.2">
      <c r="A24" t="s">
        <v>34</v>
      </c>
      <c r="C24" s="51">
        <v>2</v>
      </c>
      <c r="D24" s="55">
        <f t="shared" si="8"/>
        <v>207.8610681309367</v>
      </c>
      <c r="E24" s="55">
        <f t="shared" si="9"/>
        <v>1.6931144815870589E-2</v>
      </c>
      <c r="F24" s="53">
        <f t="shared" si="10"/>
        <v>2.0357958421772882</v>
      </c>
      <c r="G24" s="56">
        <f t="shared" si="11"/>
        <v>244.218552912555</v>
      </c>
      <c r="H24" s="56">
        <f t="shared" si="12"/>
        <v>1.448872668200865</v>
      </c>
      <c r="I24" s="53">
        <f t="shared" si="13"/>
        <v>2.0837100495495848</v>
      </c>
      <c r="K24" s="64">
        <v>2</v>
      </c>
      <c r="L24" s="68">
        <v>207.84985158111192</v>
      </c>
      <c r="M24" s="68">
        <v>1.684734996832802E-2</v>
      </c>
      <c r="N24" s="66">
        <v>2.0375585140291221</v>
      </c>
      <c r="O24" s="69">
        <v>243.25448896563</v>
      </c>
      <c r="P24" s="69">
        <v>1.443156467559866</v>
      </c>
      <c r="Q24" s="66">
        <v>2.0837027730165389</v>
      </c>
      <c r="R24" s="66"/>
      <c r="S24" s="66">
        <f t="shared" si="14"/>
        <v>0.66248029573679712</v>
      </c>
      <c r="T24" s="66">
        <f t="shared" si="15"/>
        <v>0.66538900766353704</v>
      </c>
      <c r="U24" s="66"/>
    </row>
    <row r="25" spans="1:21" x14ac:dyDescent="0.2">
      <c r="A25" t="s">
        <v>33</v>
      </c>
      <c r="C25" s="51">
        <v>1</v>
      </c>
      <c r="D25" s="55">
        <f t="shared" si="8"/>
        <v>103.9495380030218</v>
      </c>
      <c r="E25" s="55">
        <f t="shared" si="9"/>
        <v>9.2127802111401959E-3</v>
      </c>
      <c r="F25" s="53">
        <f t="shared" si="10"/>
        <v>2.014351693243627</v>
      </c>
      <c r="G25" s="56">
        <f t="shared" si="11"/>
        <v>168.3180300224661</v>
      </c>
      <c r="H25" s="56">
        <f t="shared" si="12"/>
        <v>0.99854349177636392</v>
      </c>
      <c r="I25" s="53">
        <f t="shared" si="13"/>
        <v>2.083739747960252</v>
      </c>
      <c r="K25" s="64">
        <v>1</v>
      </c>
      <c r="L25" s="68">
        <v>103.9444298116228</v>
      </c>
      <c r="M25" s="68">
        <v>9.1731683606246003E-3</v>
      </c>
      <c r="N25" s="66">
        <v>2.0153773901216749</v>
      </c>
      <c r="O25" s="69">
        <v>167.63705239278451</v>
      </c>
      <c r="P25" s="69">
        <v>0.99450218059385609</v>
      </c>
      <c r="Q25" s="66">
        <v>2.0837324760495921</v>
      </c>
      <c r="R25" s="66"/>
      <c r="S25" s="66">
        <f t="shared" si="14"/>
        <v>0.5544679545080563</v>
      </c>
      <c r="T25" s="66">
        <f t="shared" si="15"/>
        <v>0.68197092594351005</v>
      </c>
      <c r="U25" s="66"/>
    </row>
  </sheetData>
  <pageMargins left="0.7" right="0.7" top="0.75" bottom="0.75" header="0.511811023622047" footer="0.511811023622047"/>
  <pageSetup paperSize="9" scale="2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3F0B-8BE2-424C-91D0-3BC59C2DFDD7}">
  <dimension ref="A2:W60"/>
  <sheetViews>
    <sheetView topLeftCell="A22" workbookViewId="0">
      <selection activeCell="Y57" sqref="Y57"/>
    </sheetView>
  </sheetViews>
  <sheetFormatPr defaultRowHeight="12.75" x14ac:dyDescent="0.2"/>
  <sheetData>
    <row r="2" spans="1:23" x14ac:dyDescent="0.2">
      <c r="A2" t="s">
        <v>266</v>
      </c>
    </row>
    <row r="7" spans="1:23" x14ac:dyDescent="0.2">
      <c r="C7" t="s">
        <v>227</v>
      </c>
    </row>
    <row r="8" spans="1:23" x14ac:dyDescent="0.2">
      <c r="C8" t="s">
        <v>231</v>
      </c>
      <c r="U8" t="s">
        <v>268</v>
      </c>
    </row>
    <row r="9" spans="1:23" x14ac:dyDescent="0.2">
      <c r="D9" t="s">
        <v>73</v>
      </c>
      <c r="E9" t="s">
        <v>69</v>
      </c>
      <c r="V9" t="s">
        <v>20</v>
      </c>
      <c r="W9" t="s">
        <v>21</v>
      </c>
    </row>
    <row r="10" spans="1:23" x14ac:dyDescent="0.2">
      <c r="A10" t="s">
        <v>43</v>
      </c>
      <c r="C10">
        <v>10</v>
      </c>
      <c r="D10">
        <v>988108</v>
      </c>
      <c r="E10">
        <v>599631</v>
      </c>
      <c r="F10">
        <f>E10-E$20</f>
        <v>599625</v>
      </c>
      <c r="H10">
        <f>D10-D23</f>
        <v>2660</v>
      </c>
      <c r="I10">
        <f>E10-E23</f>
        <v>3225</v>
      </c>
      <c r="J10">
        <f>F10-F23</f>
        <v>3198</v>
      </c>
      <c r="K10" s="89">
        <f>J10/D10</f>
        <v>3.2364883190906259E-3</v>
      </c>
      <c r="U10">
        <v>0</v>
      </c>
      <c r="V10">
        <f>D20</f>
        <v>0</v>
      </c>
      <c r="W10">
        <f>E20</f>
        <v>6</v>
      </c>
    </row>
    <row r="11" spans="1:23" x14ac:dyDescent="0.2">
      <c r="C11">
        <v>9</v>
      </c>
      <c r="D11">
        <v>880699</v>
      </c>
      <c r="E11">
        <v>558587</v>
      </c>
      <c r="F11">
        <f t="shared" ref="F11:F19" si="0">E11-E$20</f>
        <v>558581</v>
      </c>
      <c r="H11">
        <f t="shared" ref="H11:H19" si="1">D11-D24</f>
        <v>2112</v>
      </c>
      <c r="I11">
        <f t="shared" ref="I11:I19" si="2">E11-E24</f>
        <v>3018</v>
      </c>
      <c r="J11">
        <f t="shared" ref="J11:J19" si="3">F11-F24</f>
        <v>2991</v>
      </c>
      <c r="K11" s="89">
        <f t="shared" ref="K11:K19" si="4">J11/D11</f>
        <v>3.3961659999613941E-3</v>
      </c>
      <c r="U11">
        <v>1</v>
      </c>
      <c r="V11">
        <f>D19</f>
        <v>103923</v>
      </c>
      <c r="W11">
        <f>E19</f>
        <v>167631</v>
      </c>
    </row>
    <row r="12" spans="1:23" x14ac:dyDescent="0.2">
      <c r="C12">
        <v>8</v>
      </c>
      <c r="D12">
        <v>785011</v>
      </c>
      <c r="E12">
        <v>519627</v>
      </c>
      <c r="F12">
        <f t="shared" si="0"/>
        <v>519621</v>
      </c>
      <c r="H12">
        <f t="shared" si="1"/>
        <v>1678</v>
      </c>
      <c r="I12">
        <f t="shared" si="2"/>
        <v>2304</v>
      </c>
      <c r="J12">
        <f t="shared" si="3"/>
        <v>2277</v>
      </c>
      <c r="K12" s="89">
        <f t="shared" si="4"/>
        <v>2.9005962973767245E-3</v>
      </c>
      <c r="U12">
        <v>2</v>
      </c>
      <c r="V12">
        <f>D18</f>
        <v>207807</v>
      </c>
      <c r="W12">
        <f>E18</f>
        <v>243243</v>
      </c>
    </row>
    <row r="13" spans="1:23" x14ac:dyDescent="0.2">
      <c r="C13">
        <v>7</v>
      </c>
      <c r="D13">
        <v>691283</v>
      </c>
      <c r="E13">
        <v>480736</v>
      </c>
      <c r="F13">
        <f t="shared" si="0"/>
        <v>480730</v>
      </c>
      <c r="H13">
        <f t="shared" si="1"/>
        <v>1296</v>
      </c>
      <c r="I13">
        <f t="shared" si="2"/>
        <v>1803</v>
      </c>
      <c r="J13">
        <f t="shared" si="3"/>
        <v>1776</v>
      </c>
      <c r="K13" s="89">
        <f t="shared" si="4"/>
        <v>2.5691359399840586E-3</v>
      </c>
      <c r="U13">
        <v>3</v>
      </c>
      <c r="V13">
        <f>D17</f>
        <v>304574</v>
      </c>
      <c r="W13">
        <f>E17</f>
        <v>300796</v>
      </c>
    </row>
    <row r="14" spans="1:23" x14ac:dyDescent="0.2">
      <c r="C14">
        <v>6</v>
      </c>
      <c r="D14">
        <v>593444</v>
      </c>
      <c r="E14">
        <v>438983</v>
      </c>
      <c r="F14">
        <f t="shared" si="0"/>
        <v>438977</v>
      </c>
      <c r="H14">
        <f t="shared" si="1"/>
        <v>969</v>
      </c>
      <c r="I14">
        <f t="shared" si="2"/>
        <v>1102</v>
      </c>
      <c r="J14">
        <f t="shared" si="3"/>
        <v>1075</v>
      </c>
      <c r="K14" s="89">
        <f t="shared" si="4"/>
        <v>1.8114598850102117E-3</v>
      </c>
      <c r="U14">
        <v>4</v>
      </c>
      <c r="V14">
        <f>D16</f>
        <v>399408</v>
      </c>
      <c r="W14">
        <f>E16</f>
        <v>349552</v>
      </c>
    </row>
    <row r="15" spans="1:23" x14ac:dyDescent="0.2">
      <c r="C15">
        <v>5</v>
      </c>
      <c r="D15">
        <v>495450</v>
      </c>
      <c r="E15">
        <v>395440</v>
      </c>
      <c r="F15">
        <f t="shared" si="0"/>
        <v>395434</v>
      </c>
      <c r="H15">
        <f t="shared" si="1"/>
        <v>672</v>
      </c>
      <c r="I15">
        <f t="shared" si="2"/>
        <v>934</v>
      </c>
      <c r="J15">
        <f t="shared" si="3"/>
        <v>907</v>
      </c>
      <c r="K15" s="89">
        <f t="shared" si="4"/>
        <v>1.8306589968715308E-3</v>
      </c>
      <c r="U15">
        <v>5</v>
      </c>
      <c r="V15">
        <f>D15</f>
        <v>495450</v>
      </c>
      <c r="W15">
        <f>E15</f>
        <v>395440</v>
      </c>
    </row>
    <row r="16" spans="1:23" x14ac:dyDescent="0.2">
      <c r="C16">
        <v>4</v>
      </c>
      <c r="D16">
        <v>399408</v>
      </c>
      <c r="E16">
        <v>349552</v>
      </c>
      <c r="F16">
        <f t="shared" si="0"/>
        <v>349546</v>
      </c>
      <c r="H16">
        <f t="shared" si="1"/>
        <v>439</v>
      </c>
      <c r="I16">
        <f t="shared" si="2"/>
        <v>575</v>
      </c>
      <c r="J16">
        <f t="shared" si="3"/>
        <v>548</v>
      </c>
      <c r="K16" s="89">
        <f t="shared" si="4"/>
        <v>1.3720306052958378E-3</v>
      </c>
      <c r="U16">
        <v>6</v>
      </c>
      <c r="V16">
        <f>D14</f>
        <v>593444</v>
      </c>
      <c r="W16">
        <f>E14</f>
        <v>438983</v>
      </c>
    </row>
    <row r="17" spans="3:23" x14ac:dyDescent="0.2">
      <c r="C17">
        <v>3</v>
      </c>
      <c r="D17">
        <v>304574</v>
      </c>
      <c r="E17">
        <v>300796</v>
      </c>
      <c r="F17">
        <f t="shared" si="0"/>
        <v>300790</v>
      </c>
      <c r="H17">
        <f t="shared" si="1"/>
        <v>251</v>
      </c>
      <c r="I17">
        <f t="shared" si="2"/>
        <v>452</v>
      </c>
      <c r="J17">
        <f t="shared" si="3"/>
        <v>425</v>
      </c>
      <c r="K17" s="89">
        <f t="shared" si="4"/>
        <v>1.3953915961309896E-3</v>
      </c>
      <c r="U17">
        <v>7</v>
      </c>
      <c r="V17">
        <f>D13</f>
        <v>691283</v>
      </c>
      <c r="W17">
        <f>E13</f>
        <v>480736</v>
      </c>
    </row>
    <row r="18" spans="3:23" x14ac:dyDescent="0.2">
      <c r="C18">
        <v>2</v>
      </c>
      <c r="D18">
        <v>207807</v>
      </c>
      <c r="E18">
        <v>243243</v>
      </c>
      <c r="F18">
        <f t="shared" si="0"/>
        <v>243237</v>
      </c>
      <c r="H18">
        <f t="shared" si="1"/>
        <v>116</v>
      </c>
      <c r="I18">
        <f t="shared" si="2"/>
        <v>260</v>
      </c>
      <c r="J18">
        <f t="shared" si="3"/>
        <v>233</v>
      </c>
      <c r="K18" s="89">
        <f t="shared" si="4"/>
        <v>1.1212326822484324E-3</v>
      </c>
      <c r="U18">
        <v>8</v>
      </c>
      <c r="V18">
        <f>D12</f>
        <v>785011</v>
      </c>
      <c r="W18">
        <f>E12</f>
        <v>519627</v>
      </c>
    </row>
    <row r="19" spans="3:23" x14ac:dyDescent="0.2">
      <c r="C19">
        <v>1</v>
      </c>
      <c r="D19">
        <v>103923</v>
      </c>
      <c r="E19">
        <v>167631</v>
      </c>
      <c r="F19">
        <f t="shared" si="0"/>
        <v>167625</v>
      </c>
      <c r="H19">
        <f t="shared" si="1"/>
        <v>28</v>
      </c>
      <c r="I19">
        <f t="shared" si="2"/>
        <v>95</v>
      </c>
      <c r="J19">
        <f t="shared" si="3"/>
        <v>68</v>
      </c>
      <c r="K19" s="89">
        <f t="shared" si="4"/>
        <v>6.5433061016329397E-4</v>
      </c>
      <c r="U19">
        <v>9</v>
      </c>
      <c r="V19">
        <f>D11</f>
        <v>880699</v>
      </c>
      <c r="W19">
        <f>E11</f>
        <v>558587</v>
      </c>
    </row>
    <row r="20" spans="3:23" x14ac:dyDescent="0.2">
      <c r="C20">
        <v>0</v>
      </c>
      <c r="D20">
        <v>0</v>
      </c>
      <c r="E20">
        <v>6</v>
      </c>
      <c r="U20">
        <v>10</v>
      </c>
      <c r="V20">
        <f>D10</f>
        <v>988108</v>
      </c>
      <c r="W20">
        <f>E10</f>
        <v>599631</v>
      </c>
    </row>
    <row r="22" spans="3:23" x14ac:dyDescent="0.2">
      <c r="C22" t="s">
        <v>229</v>
      </c>
      <c r="V22" t="s">
        <v>20</v>
      </c>
      <c r="W22" t="s">
        <v>21</v>
      </c>
    </row>
    <row r="23" spans="3:23" x14ac:dyDescent="0.2">
      <c r="C23">
        <v>10</v>
      </c>
      <c r="D23">
        <v>985448</v>
      </c>
      <c r="E23">
        <v>596406</v>
      </c>
      <c r="F23">
        <f>E23-E$33</f>
        <v>596427</v>
      </c>
      <c r="U23">
        <v>0</v>
      </c>
      <c r="V23">
        <f>D33</f>
        <v>0</v>
      </c>
      <c r="W23">
        <f>E33</f>
        <v>-21</v>
      </c>
    </row>
    <row r="24" spans="3:23" x14ac:dyDescent="0.2">
      <c r="C24">
        <v>9</v>
      </c>
      <c r="D24">
        <v>878587</v>
      </c>
      <c r="E24">
        <v>555569</v>
      </c>
      <c r="F24">
        <f t="shared" ref="F24:F32" si="5">E24-E$33</f>
        <v>555590</v>
      </c>
      <c r="U24">
        <v>1</v>
      </c>
      <c r="V24">
        <f>D32</f>
        <v>103895</v>
      </c>
      <c r="W24">
        <f>E32</f>
        <v>167536</v>
      </c>
    </row>
    <row r="25" spans="3:23" x14ac:dyDescent="0.2">
      <c r="C25">
        <v>8</v>
      </c>
      <c r="D25">
        <v>783333</v>
      </c>
      <c r="E25">
        <v>517323</v>
      </c>
      <c r="F25">
        <f t="shared" si="5"/>
        <v>517344</v>
      </c>
      <c r="U25">
        <v>2</v>
      </c>
      <c r="V25">
        <f>D31</f>
        <v>207691</v>
      </c>
      <c r="W25">
        <f>E31</f>
        <v>242983</v>
      </c>
    </row>
    <row r="26" spans="3:23" x14ac:dyDescent="0.2">
      <c r="C26">
        <v>7</v>
      </c>
      <c r="D26">
        <v>689987</v>
      </c>
      <c r="E26">
        <v>478933</v>
      </c>
      <c r="F26">
        <f t="shared" si="5"/>
        <v>478954</v>
      </c>
      <c r="U26">
        <v>3</v>
      </c>
      <c r="V26">
        <f>D30</f>
        <v>304323</v>
      </c>
      <c r="W26">
        <f>E30</f>
        <v>300344</v>
      </c>
    </row>
    <row r="27" spans="3:23" x14ac:dyDescent="0.2">
      <c r="C27">
        <v>6</v>
      </c>
      <c r="D27">
        <v>592475</v>
      </c>
      <c r="E27">
        <v>437881</v>
      </c>
      <c r="F27">
        <f t="shared" si="5"/>
        <v>437902</v>
      </c>
      <c r="U27">
        <v>4</v>
      </c>
      <c r="V27">
        <f>D29</f>
        <v>398969</v>
      </c>
      <c r="W27">
        <f>E29</f>
        <v>348977</v>
      </c>
    </row>
    <row r="28" spans="3:23" x14ac:dyDescent="0.2">
      <c r="C28">
        <v>5</v>
      </c>
      <c r="D28">
        <v>494778</v>
      </c>
      <c r="E28">
        <v>394506</v>
      </c>
      <c r="F28">
        <f t="shared" si="5"/>
        <v>394527</v>
      </c>
      <c r="U28">
        <v>5</v>
      </c>
      <c r="V28">
        <f>D28</f>
        <v>494778</v>
      </c>
      <c r="W28">
        <f>E28</f>
        <v>394506</v>
      </c>
    </row>
    <row r="29" spans="3:23" x14ac:dyDescent="0.2">
      <c r="C29">
        <v>4</v>
      </c>
      <c r="D29">
        <v>398969</v>
      </c>
      <c r="E29">
        <v>348977</v>
      </c>
      <c r="F29">
        <f t="shared" si="5"/>
        <v>348998</v>
      </c>
      <c r="U29">
        <v>6</v>
      </c>
      <c r="V29">
        <f>D27</f>
        <v>592475</v>
      </c>
      <c r="W29">
        <f>E27</f>
        <v>437881</v>
      </c>
    </row>
    <row r="30" spans="3:23" x14ac:dyDescent="0.2">
      <c r="C30">
        <v>3</v>
      </c>
      <c r="D30">
        <v>304323</v>
      </c>
      <c r="E30">
        <v>300344</v>
      </c>
      <c r="F30">
        <f t="shared" si="5"/>
        <v>300365</v>
      </c>
      <c r="U30">
        <v>7</v>
      </c>
      <c r="V30">
        <f>D26</f>
        <v>689987</v>
      </c>
      <c r="W30">
        <f>E26</f>
        <v>478933</v>
      </c>
    </row>
    <row r="31" spans="3:23" x14ac:dyDescent="0.2">
      <c r="C31">
        <v>2</v>
      </c>
      <c r="D31">
        <v>207691</v>
      </c>
      <c r="E31">
        <v>242983</v>
      </c>
      <c r="F31">
        <f t="shared" si="5"/>
        <v>243004</v>
      </c>
      <c r="U31">
        <v>8</v>
      </c>
      <c r="V31">
        <f>D25</f>
        <v>783333</v>
      </c>
      <c r="W31">
        <f>E25</f>
        <v>517323</v>
      </c>
    </row>
    <row r="32" spans="3:23" x14ac:dyDescent="0.2">
      <c r="C32">
        <v>1</v>
      </c>
      <c r="D32">
        <v>103895</v>
      </c>
      <c r="E32">
        <v>167536</v>
      </c>
      <c r="F32">
        <f t="shared" si="5"/>
        <v>167557</v>
      </c>
      <c r="U32">
        <v>9</v>
      </c>
      <c r="V32">
        <f>D24</f>
        <v>878587</v>
      </c>
      <c r="W32">
        <f>E24</f>
        <v>555569</v>
      </c>
    </row>
    <row r="33" spans="1:23" x14ac:dyDescent="0.2">
      <c r="C33">
        <v>0</v>
      </c>
      <c r="D33">
        <v>0</v>
      </c>
      <c r="E33">
        <f>979-1000</f>
        <v>-21</v>
      </c>
      <c r="U33">
        <v>10</v>
      </c>
      <c r="V33">
        <f>D23</f>
        <v>985448</v>
      </c>
      <c r="W33">
        <f>E23</f>
        <v>596406</v>
      </c>
    </row>
    <row r="35" spans="1:23" x14ac:dyDescent="0.2">
      <c r="A35" t="s">
        <v>32</v>
      </c>
      <c r="C35" t="s">
        <v>231</v>
      </c>
    </row>
    <row r="36" spans="1:23" x14ac:dyDescent="0.2">
      <c r="D36" t="s">
        <v>73</v>
      </c>
      <c r="E36" t="s">
        <v>69</v>
      </c>
      <c r="V36" t="s">
        <v>20</v>
      </c>
      <c r="W36" t="s">
        <v>21</v>
      </c>
    </row>
    <row r="37" spans="1:23" x14ac:dyDescent="0.2">
      <c r="C37">
        <v>10</v>
      </c>
      <c r="D37">
        <v>1011026</v>
      </c>
      <c r="E37">
        <v>697686</v>
      </c>
      <c r="F37">
        <f>E37-E$47</f>
        <v>697324</v>
      </c>
      <c r="H37">
        <f>D37-D50</f>
        <v>277</v>
      </c>
      <c r="I37">
        <f>E37-E50</f>
        <v>1131</v>
      </c>
      <c r="J37">
        <f>F37-F50</f>
        <v>831</v>
      </c>
      <c r="K37" s="89">
        <f>J37/D37</f>
        <v>8.2193731911938957E-4</v>
      </c>
      <c r="U37">
        <v>0</v>
      </c>
      <c r="V37">
        <f>D47</f>
        <v>3</v>
      </c>
      <c r="W37">
        <f>E47</f>
        <v>362</v>
      </c>
    </row>
    <row r="38" spans="1:23" x14ac:dyDescent="0.2">
      <c r="C38">
        <v>9</v>
      </c>
      <c r="D38">
        <v>889871</v>
      </c>
      <c r="E38">
        <v>647063</v>
      </c>
      <c r="F38">
        <f t="shared" ref="F38:F46" si="6">E38-E$47</f>
        <v>646701</v>
      </c>
      <c r="H38">
        <f t="shared" ref="H38:H45" si="7">D38-D51</f>
        <v>212</v>
      </c>
      <c r="I38">
        <f t="shared" ref="I38:J46" si="8">E38-E51</f>
        <v>960</v>
      </c>
      <c r="J38">
        <f t="shared" si="8"/>
        <v>660</v>
      </c>
      <c r="K38" s="89">
        <f t="shared" ref="K38:K46" si="9">J38/D38</f>
        <v>7.4168053571809845E-4</v>
      </c>
      <c r="U38">
        <v>1</v>
      </c>
      <c r="V38">
        <f>D46</f>
        <v>101490</v>
      </c>
      <c r="W38">
        <f>E46</f>
        <v>194431</v>
      </c>
    </row>
    <row r="39" spans="1:23" x14ac:dyDescent="0.2">
      <c r="C39">
        <v>8</v>
      </c>
      <c r="D39">
        <v>788799</v>
      </c>
      <c r="E39">
        <v>601706</v>
      </c>
      <c r="F39">
        <f t="shared" si="6"/>
        <v>601344</v>
      </c>
      <c r="H39">
        <f t="shared" si="7"/>
        <v>166</v>
      </c>
      <c r="I39">
        <f t="shared" si="8"/>
        <v>816</v>
      </c>
      <c r="J39">
        <f t="shared" si="8"/>
        <v>516</v>
      </c>
      <c r="K39" s="89">
        <f t="shared" si="9"/>
        <v>6.5415904431927522E-4</v>
      </c>
      <c r="U39">
        <v>2</v>
      </c>
      <c r="V39">
        <f>D45</f>
        <v>199878</v>
      </c>
      <c r="W39">
        <f>E45</f>
        <v>279371</v>
      </c>
    </row>
    <row r="40" spans="1:23" x14ac:dyDescent="0.2">
      <c r="C40">
        <v>7</v>
      </c>
      <c r="D40">
        <v>689418</v>
      </c>
      <c r="E40">
        <v>556121</v>
      </c>
      <c r="F40">
        <f t="shared" si="6"/>
        <v>555759</v>
      </c>
      <c r="H40">
        <f t="shared" si="7"/>
        <v>126</v>
      </c>
      <c r="I40">
        <f t="shared" si="8"/>
        <v>796</v>
      </c>
      <c r="J40">
        <f t="shared" si="8"/>
        <v>496</v>
      </c>
      <c r="K40" s="89">
        <f t="shared" si="9"/>
        <v>7.1944741796703881E-4</v>
      </c>
      <c r="U40">
        <v>3</v>
      </c>
      <c r="V40">
        <f>D44</f>
        <v>292647</v>
      </c>
      <c r="W40">
        <f>E44</f>
        <v>343815</v>
      </c>
    </row>
    <row r="41" spans="1:23" x14ac:dyDescent="0.2">
      <c r="B41" t="s">
        <v>267</v>
      </c>
      <c r="C41">
        <v>6</v>
      </c>
      <c r="D41">
        <v>590951</v>
      </c>
      <c r="E41">
        <v>509106</v>
      </c>
      <c r="F41">
        <f t="shared" si="6"/>
        <v>508744</v>
      </c>
      <c r="H41">
        <f t="shared" si="7"/>
        <v>89</v>
      </c>
      <c r="I41">
        <f t="shared" si="8"/>
        <v>641</v>
      </c>
      <c r="J41">
        <f t="shared" si="8"/>
        <v>341</v>
      </c>
      <c r="K41" s="89">
        <f t="shared" si="9"/>
        <v>5.77035997908456E-4</v>
      </c>
      <c r="U41">
        <v>4</v>
      </c>
      <c r="V41">
        <f>D43</f>
        <v>393472</v>
      </c>
      <c r="W41">
        <f>E43</f>
        <v>404401</v>
      </c>
    </row>
    <row r="42" spans="1:23" x14ac:dyDescent="0.2">
      <c r="C42">
        <v>5</v>
      </c>
      <c r="D42">
        <v>490506</v>
      </c>
      <c r="E42">
        <v>458031</v>
      </c>
      <c r="F42">
        <f t="shared" si="6"/>
        <v>457669</v>
      </c>
      <c r="H42">
        <f t="shared" si="7"/>
        <v>58</v>
      </c>
      <c r="I42">
        <f t="shared" si="8"/>
        <v>556</v>
      </c>
      <c r="J42">
        <f t="shared" si="8"/>
        <v>256</v>
      </c>
      <c r="K42" s="89">
        <f t="shared" si="9"/>
        <v>5.2191002760414759E-4</v>
      </c>
      <c r="U42">
        <v>5</v>
      </c>
      <c r="V42">
        <f>D42</f>
        <v>490506</v>
      </c>
      <c r="W42">
        <f>E42</f>
        <v>458031</v>
      </c>
    </row>
    <row r="43" spans="1:23" x14ac:dyDescent="0.2">
      <c r="C43">
        <v>4</v>
      </c>
      <c r="D43">
        <v>393472</v>
      </c>
      <c r="E43">
        <v>404401</v>
      </c>
      <c r="F43">
        <f t="shared" si="6"/>
        <v>404039</v>
      </c>
      <c r="H43">
        <f t="shared" si="7"/>
        <v>38</v>
      </c>
      <c r="I43">
        <f t="shared" si="8"/>
        <v>368</v>
      </c>
      <c r="J43">
        <f t="shared" si="8"/>
        <v>68</v>
      </c>
      <c r="K43" s="89">
        <f t="shared" si="9"/>
        <v>1.7282042940793753E-4</v>
      </c>
      <c r="U43">
        <v>6</v>
      </c>
      <c r="V43">
        <f>D41</f>
        <v>590951</v>
      </c>
      <c r="W43">
        <f>E41</f>
        <v>509106</v>
      </c>
    </row>
    <row r="44" spans="1:23" x14ac:dyDescent="0.2">
      <c r="C44">
        <v>3</v>
      </c>
      <c r="D44">
        <v>292647</v>
      </c>
      <c r="E44">
        <v>343815</v>
      </c>
      <c r="F44">
        <f t="shared" si="6"/>
        <v>343453</v>
      </c>
      <c r="H44">
        <f t="shared" si="7"/>
        <v>17</v>
      </c>
      <c r="I44">
        <f t="shared" si="8"/>
        <v>322</v>
      </c>
      <c r="J44">
        <f t="shared" si="8"/>
        <v>22</v>
      </c>
      <c r="K44" s="89">
        <f t="shared" si="9"/>
        <v>7.5175894507717488E-5</v>
      </c>
      <c r="U44">
        <v>7</v>
      </c>
      <c r="V44">
        <f>D40</f>
        <v>689418</v>
      </c>
      <c r="W44">
        <f>E40</f>
        <v>556121</v>
      </c>
    </row>
    <row r="45" spans="1:23" x14ac:dyDescent="0.2">
      <c r="C45">
        <v>2</v>
      </c>
      <c r="D45">
        <v>199878</v>
      </c>
      <c r="E45">
        <v>279371</v>
      </c>
      <c r="F45">
        <f t="shared" si="6"/>
        <v>279009</v>
      </c>
      <c r="H45">
        <f t="shared" si="7"/>
        <v>6</v>
      </c>
      <c r="I45">
        <f t="shared" si="8"/>
        <v>296</v>
      </c>
      <c r="J45">
        <f t="shared" si="8"/>
        <v>-4</v>
      </c>
      <c r="K45" s="89">
        <f t="shared" si="9"/>
        <v>-2.001220744654239E-5</v>
      </c>
      <c r="U45">
        <v>8</v>
      </c>
      <c r="V45">
        <f>D39</f>
        <v>788799</v>
      </c>
      <c r="W45">
        <f>E39</f>
        <v>601706</v>
      </c>
    </row>
    <row r="46" spans="1:23" x14ac:dyDescent="0.2">
      <c r="C46">
        <v>1</v>
      </c>
      <c r="D46">
        <v>101490</v>
      </c>
      <c r="E46">
        <v>194431</v>
      </c>
      <c r="F46">
        <f t="shared" si="6"/>
        <v>194069</v>
      </c>
      <c r="H46">
        <f>D46-D59+1</f>
        <v>1</v>
      </c>
      <c r="I46">
        <f t="shared" si="8"/>
        <v>296</v>
      </c>
      <c r="J46">
        <f t="shared" si="8"/>
        <v>-4</v>
      </c>
      <c r="K46" s="89">
        <f t="shared" si="9"/>
        <v>-3.9412750024632971E-5</v>
      </c>
      <c r="U46">
        <v>9</v>
      </c>
      <c r="V46">
        <f>D38</f>
        <v>889871</v>
      </c>
      <c r="W46">
        <f>E38</f>
        <v>647063</v>
      </c>
    </row>
    <row r="47" spans="1:23" x14ac:dyDescent="0.2">
      <c r="C47">
        <v>0</v>
      </c>
      <c r="D47">
        <v>3</v>
      </c>
      <c r="E47">
        <v>362</v>
      </c>
      <c r="U47">
        <v>10</v>
      </c>
      <c r="V47">
        <f>D37</f>
        <v>1011026</v>
      </c>
      <c r="W47">
        <f>E37</f>
        <v>697686</v>
      </c>
    </row>
    <row r="49" spans="3:23" x14ac:dyDescent="0.2">
      <c r="C49" t="s">
        <v>229</v>
      </c>
      <c r="V49" t="s">
        <v>20</v>
      </c>
      <c r="W49" t="s">
        <v>21</v>
      </c>
    </row>
    <row r="50" spans="3:23" x14ac:dyDescent="0.2">
      <c r="C50">
        <v>10</v>
      </c>
      <c r="D50">
        <v>1010749</v>
      </c>
      <c r="E50">
        <v>696555</v>
      </c>
      <c r="F50">
        <f>E50-E$60</f>
        <v>696493</v>
      </c>
      <c r="U50">
        <v>0</v>
      </c>
      <c r="V50">
        <f>D60</f>
        <v>0</v>
      </c>
      <c r="W50">
        <f>E60</f>
        <v>62</v>
      </c>
    </row>
    <row r="51" spans="3:23" x14ac:dyDescent="0.2">
      <c r="C51">
        <v>9</v>
      </c>
      <c r="D51">
        <v>889659</v>
      </c>
      <c r="E51">
        <v>646103</v>
      </c>
      <c r="F51">
        <f t="shared" ref="F51:F60" si="10">E51-E$60</f>
        <v>646041</v>
      </c>
      <c r="U51">
        <v>1</v>
      </c>
      <c r="V51">
        <f>D59</f>
        <v>101490</v>
      </c>
      <c r="W51">
        <f>E59</f>
        <v>194135</v>
      </c>
    </row>
    <row r="52" spans="3:23" x14ac:dyDescent="0.2">
      <c r="C52">
        <v>8</v>
      </c>
      <c r="D52">
        <v>788633</v>
      </c>
      <c r="E52">
        <v>600890</v>
      </c>
      <c r="F52">
        <f t="shared" si="10"/>
        <v>600828</v>
      </c>
      <c r="U52">
        <v>2</v>
      </c>
      <c r="V52">
        <f>D58</f>
        <v>199872</v>
      </c>
      <c r="W52">
        <f>E58</f>
        <v>279075</v>
      </c>
    </row>
    <row r="53" spans="3:23" x14ac:dyDescent="0.2">
      <c r="C53">
        <v>7</v>
      </c>
      <c r="D53">
        <v>689292</v>
      </c>
      <c r="E53">
        <v>555325</v>
      </c>
      <c r="F53">
        <f t="shared" si="10"/>
        <v>555263</v>
      </c>
      <c r="U53">
        <v>3</v>
      </c>
      <c r="V53">
        <f>D57</f>
        <v>292630</v>
      </c>
      <c r="W53">
        <f>E57</f>
        <v>343493</v>
      </c>
    </row>
    <row r="54" spans="3:23" x14ac:dyDescent="0.2">
      <c r="C54">
        <v>6</v>
      </c>
      <c r="D54">
        <v>590862</v>
      </c>
      <c r="E54">
        <v>508465</v>
      </c>
      <c r="F54">
        <f t="shared" si="10"/>
        <v>508403</v>
      </c>
      <c r="U54">
        <v>4</v>
      </c>
      <c r="V54">
        <f>D56</f>
        <v>393434</v>
      </c>
      <c r="W54">
        <f>E56</f>
        <v>404033</v>
      </c>
    </row>
    <row r="55" spans="3:23" x14ac:dyDescent="0.2">
      <c r="C55">
        <v>5</v>
      </c>
      <c r="D55">
        <v>490448</v>
      </c>
      <c r="E55">
        <v>457475</v>
      </c>
      <c r="F55">
        <f t="shared" si="10"/>
        <v>457413</v>
      </c>
      <c r="U55">
        <v>5</v>
      </c>
      <c r="V55">
        <f>D55</f>
        <v>490448</v>
      </c>
      <c r="W55">
        <f>E55</f>
        <v>457475</v>
      </c>
    </row>
    <row r="56" spans="3:23" x14ac:dyDescent="0.2">
      <c r="C56">
        <v>4</v>
      </c>
      <c r="D56">
        <v>393434</v>
      </c>
      <c r="E56">
        <v>404033</v>
      </c>
      <c r="F56">
        <f t="shared" si="10"/>
        <v>403971</v>
      </c>
      <c r="U56">
        <v>6</v>
      </c>
      <c r="V56">
        <f>D54</f>
        <v>590862</v>
      </c>
      <c r="W56">
        <f>E54</f>
        <v>508465</v>
      </c>
    </row>
    <row r="57" spans="3:23" x14ac:dyDescent="0.2">
      <c r="C57">
        <v>3</v>
      </c>
      <c r="D57">
        <v>292630</v>
      </c>
      <c r="E57">
        <v>343493</v>
      </c>
      <c r="F57">
        <f t="shared" si="10"/>
        <v>343431</v>
      </c>
      <c r="U57">
        <v>7</v>
      </c>
      <c r="V57">
        <f>D53</f>
        <v>689292</v>
      </c>
      <c r="W57">
        <f>E53</f>
        <v>555325</v>
      </c>
    </row>
    <row r="58" spans="3:23" x14ac:dyDescent="0.2">
      <c r="C58">
        <v>2</v>
      </c>
      <c r="D58">
        <v>199872</v>
      </c>
      <c r="E58">
        <v>279075</v>
      </c>
      <c r="F58">
        <f t="shared" si="10"/>
        <v>279013</v>
      </c>
      <c r="U58">
        <v>8</v>
      </c>
      <c r="V58">
        <f>D52</f>
        <v>788633</v>
      </c>
      <c r="W58">
        <f>E52</f>
        <v>600890</v>
      </c>
    </row>
    <row r="59" spans="3:23" x14ac:dyDescent="0.2">
      <c r="C59">
        <v>1</v>
      </c>
      <c r="D59">
        <v>101490</v>
      </c>
      <c r="E59">
        <v>194135</v>
      </c>
      <c r="F59">
        <f t="shared" si="10"/>
        <v>194073</v>
      </c>
      <c r="U59">
        <v>9</v>
      </c>
      <c r="V59">
        <f>D51</f>
        <v>889659</v>
      </c>
      <c r="W59">
        <f>E51</f>
        <v>646103</v>
      </c>
    </row>
    <row r="60" spans="3:23" x14ac:dyDescent="0.2">
      <c r="C60">
        <v>0</v>
      </c>
      <c r="D60">
        <v>0</v>
      </c>
      <c r="E60">
        <v>62</v>
      </c>
      <c r="F60">
        <f t="shared" si="10"/>
        <v>0</v>
      </c>
      <c r="U60">
        <v>10</v>
      </c>
      <c r="V60">
        <f>D50</f>
        <v>1010749</v>
      </c>
      <c r="W60">
        <f>E50</f>
        <v>696555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D8F8-972B-45DA-9E24-9B00E1F858E7}">
  <sheetPr>
    <pageSetUpPr fitToPage="1"/>
  </sheetPr>
  <dimension ref="A1:O164"/>
  <sheetViews>
    <sheetView topLeftCell="A136" workbookViewId="0">
      <selection activeCell="L143" sqref="L143"/>
    </sheetView>
  </sheetViews>
  <sheetFormatPr defaultRowHeight="12.75" x14ac:dyDescent="0.2"/>
  <cols>
    <col min="1" max="1" width="13.7109375" customWidth="1"/>
    <col min="2" max="2" width="11" customWidth="1"/>
    <col min="3" max="3" width="10" bestFit="1" customWidth="1"/>
    <col min="5" max="6" width="9.42578125" bestFit="1" customWidth="1"/>
    <col min="11" max="11" width="12.5703125" bestFit="1" customWidth="1"/>
    <col min="15" max="15" width="12.42578125" bestFit="1" customWidth="1"/>
  </cols>
  <sheetData>
    <row r="1" spans="1:7" x14ac:dyDescent="0.2">
      <c r="A1" t="s">
        <v>201</v>
      </c>
    </row>
    <row r="2" spans="1:7" x14ac:dyDescent="0.2">
      <c r="A2" t="s">
        <v>202</v>
      </c>
    </row>
    <row r="4" spans="1:7" x14ac:dyDescent="0.2">
      <c r="A4" t="s">
        <v>203</v>
      </c>
    </row>
    <row r="5" spans="1:7" x14ac:dyDescent="0.2">
      <c r="B5" t="s">
        <v>204</v>
      </c>
    </row>
    <row r="6" spans="1:7" x14ac:dyDescent="0.2">
      <c r="E6" t="s">
        <v>211</v>
      </c>
      <c r="G6" t="s">
        <v>213</v>
      </c>
    </row>
    <row r="7" spans="1:7" x14ac:dyDescent="0.2">
      <c r="B7" t="s">
        <v>205</v>
      </c>
      <c r="C7">
        <v>984.99260000000004</v>
      </c>
      <c r="E7" s="48">
        <f>C$7/C7</f>
        <v>1</v>
      </c>
      <c r="G7" s="84">
        <f>(E7-1)*1000000</f>
        <v>0</v>
      </c>
    </row>
    <row r="8" spans="1:7" x14ac:dyDescent="0.2">
      <c r="B8" t="s">
        <v>206</v>
      </c>
      <c r="C8">
        <v>984.94849999999997</v>
      </c>
      <c r="E8" s="48">
        <f t="shared" ref="E8:E10" si="0">C$7/C8</f>
        <v>1.0000447739145752</v>
      </c>
      <c r="G8" s="84">
        <f t="shared" ref="G8:G10" si="1">(E8-1)*1000000</f>
        <v>44.77391457524682</v>
      </c>
    </row>
    <row r="9" spans="1:7" x14ac:dyDescent="0.2">
      <c r="B9" t="s">
        <v>207</v>
      </c>
      <c r="C9">
        <v>984.99390000000005</v>
      </c>
      <c r="E9" s="48">
        <f t="shared" si="0"/>
        <v>0.99999868019487226</v>
      </c>
      <c r="G9" s="84">
        <f t="shared" si="1"/>
        <v>-1.3198051277418799</v>
      </c>
    </row>
    <row r="10" spans="1:7" x14ac:dyDescent="0.2">
      <c r="B10" t="s">
        <v>208</v>
      </c>
      <c r="C10">
        <v>984.95650000000001</v>
      </c>
      <c r="E10" s="48">
        <f t="shared" si="0"/>
        <v>1.0000366513648065</v>
      </c>
      <c r="G10" s="84">
        <f t="shared" si="1"/>
        <v>36.651364806461473</v>
      </c>
    </row>
    <row r="12" spans="1:7" x14ac:dyDescent="0.2">
      <c r="B12" t="s">
        <v>209</v>
      </c>
      <c r="E12" t="s">
        <v>210</v>
      </c>
    </row>
    <row r="13" spans="1:7" x14ac:dyDescent="0.2">
      <c r="B13" t="s">
        <v>206</v>
      </c>
      <c r="C13">
        <v>985.46450000000004</v>
      </c>
      <c r="E13" s="48">
        <f>C8/C13</f>
        <v>0.999476389053081</v>
      </c>
      <c r="G13" s="84">
        <f t="shared" ref="G13:G15" si="2">(E13-1)*1000000</f>
        <v>-523.6109469189953</v>
      </c>
    </row>
    <row r="14" spans="1:7" x14ac:dyDescent="0.2">
      <c r="B14" t="s">
        <v>207</v>
      </c>
      <c r="C14">
        <v>985.48270000000002</v>
      </c>
      <c r="E14" s="48">
        <f t="shared" ref="E14:E15" si="3">C9/C14</f>
        <v>0.99950399941064416</v>
      </c>
      <c r="G14" s="84">
        <f t="shared" si="2"/>
        <v>-496.00058935583837</v>
      </c>
    </row>
    <row r="15" spans="1:7" x14ac:dyDescent="0.2">
      <c r="B15" t="s">
        <v>208</v>
      </c>
      <c r="C15">
        <v>985.48379999999997</v>
      </c>
      <c r="E15" s="48">
        <f t="shared" si="3"/>
        <v>0.99946493285835858</v>
      </c>
      <c r="G15" s="84">
        <f t="shared" si="2"/>
        <v>-535.06714164142102</v>
      </c>
    </row>
    <row r="17" spans="2:11" x14ac:dyDescent="0.2">
      <c r="B17" t="s">
        <v>212</v>
      </c>
    </row>
    <row r="18" spans="2:11" x14ac:dyDescent="0.2">
      <c r="B18" t="s">
        <v>214</v>
      </c>
    </row>
    <row r="20" spans="2:11" x14ac:dyDescent="0.2">
      <c r="B20" t="s">
        <v>221</v>
      </c>
      <c r="E20" t="s">
        <v>222</v>
      </c>
      <c r="I20" t="s">
        <v>225</v>
      </c>
      <c r="K20" t="s">
        <v>213</v>
      </c>
    </row>
    <row r="21" spans="2:11" x14ac:dyDescent="0.2">
      <c r="B21" t="s">
        <v>206</v>
      </c>
      <c r="C21">
        <v>988.21609999999998</v>
      </c>
      <c r="E21">
        <f>C$22/C21</f>
        <v>1.000004452467431</v>
      </c>
      <c r="G21" s="84">
        <f t="shared" ref="G21:G23" si="4">(E21-1)*1000000</f>
        <v>4.4524674309709411</v>
      </c>
      <c r="I21">
        <f>C$14/C21</f>
        <v>0.997234005800958</v>
      </c>
      <c r="K21" s="84">
        <f>(I21-1)*1000000</f>
        <v>-2765.9941990419989</v>
      </c>
    </row>
    <row r="22" spans="2:11" x14ac:dyDescent="0.2">
      <c r="B22" t="s">
        <v>207</v>
      </c>
      <c r="C22">
        <v>988.22050000000002</v>
      </c>
      <c r="E22">
        <f t="shared" ref="E22:E23" si="5">C$22/C22</f>
        <v>1</v>
      </c>
      <c r="G22" s="84">
        <f t="shared" si="4"/>
        <v>0</v>
      </c>
      <c r="I22">
        <f t="shared" ref="I22:I23" si="6">C$14/C22</f>
        <v>0.99722956566879561</v>
      </c>
      <c r="K22" s="84">
        <f t="shared" ref="K22:K23" si="7">(I22-1)*1000000</f>
        <v>-2770.4343312043857</v>
      </c>
    </row>
    <row r="23" spans="2:11" x14ac:dyDescent="0.2">
      <c r="B23" t="s">
        <v>208</v>
      </c>
      <c r="C23">
        <v>988.22310000000004</v>
      </c>
      <c r="E23">
        <f t="shared" si="5"/>
        <v>0.99999736901515457</v>
      </c>
      <c r="G23" s="84">
        <f t="shared" si="4"/>
        <v>-2.6309848454308948</v>
      </c>
      <c r="I23">
        <f t="shared" si="6"/>
        <v>0.99722694197292083</v>
      </c>
      <c r="K23" s="84">
        <f t="shared" si="7"/>
        <v>-2773.058027079167</v>
      </c>
    </row>
    <row r="24" spans="2:11" x14ac:dyDescent="0.2">
      <c r="G24" s="84"/>
    </row>
    <row r="25" spans="2:11" x14ac:dyDescent="0.2">
      <c r="G25" s="84"/>
    </row>
    <row r="26" spans="2:11" x14ac:dyDescent="0.2">
      <c r="G26" s="84"/>
    </row>
    <row r="28" spans="2:11" x14ac:dyDescent="0.2">
      <c r="B28" t="s">
        <v>223</v>
      </c>
    </row>
    <row r="29" spans="2:11" x14ac:dyDescent="0.2">
      <c r="B29" t="s">
        <v>224</v>
      </c>
    </row>
    <row r="30" spans="2:11" x14ac:dyDescent="0.2">
      <c r="B30" t="s">
        <v>226</v>
      </c>
    </row>
    <row r="33" spans="1:12" x14ac:dyDescent="0.2">
      <c r="E33" t="s">
        <v>218</v>
      </c>
      <c r="G33" t="s">
        <v>213</v>
      </c>
    </row>
    <row r="34" spans="1:12" x14ac:dyDescent="0.2">
      <c r="A34" t="s">
        <v>215</v>
      </c>
      <c r="B34" t="s">
        <v>216</v>
      </c>
      <c r="C34">
        <v>590859</v>
      </c>
      <c r="E34">
        <f>C34/C37</f>
        <v>0.99984770259362488</v>
      </c>
      <c r="G34" s="84">
        <f t="shared" ref="G34:G35" si="8">(E34-1)*1000000</f>
        <v>-152.29740637512367</v>
      </c>
    </row>
    <row r="35" spans="1:12" x14ac:dyDescent="0.2">
      <c r="C35">
        <v>1010745</v>
      </c>
      <c r="E35">
        <f>C35/C38</f>
        <v>0.9997240421592366</v>
      </c>
      <c r="G35" s="84">
        <f t="shared" si="8"/>
        <v>-275.95784076339669</v>
      </c>
    </row>
    <row r="37" spans="1:12" x14ac:dyDescent="0.2">
      <c r="B37" t="s">
        <v>217</v>
      </c>
      <c r="C37">
        <v>590949</v>
      </c>
      <c r="H37" t="s">
        <v>219</v>
      </c>
    </row>
    <row r="38" spans="1:12" x14ac:dyDescent="0.2">
      <c r="C38">
        <v>1011024</v>
      </c>
    </row>
    <row r="41" spans="1:12" x14ac:dyDescent="0.2">
      <c r="A41" t="s">
        <v>220</v>
      </c>
    </row>
    <row r="42" spans="1:12" x14ac:dyDescent="0.2">
      <c r="K42">
        <v>28.04</v>
      </c>
    </row>
    <row r="43" spans="1:12" x14ac:dyDescent="0.2">
      <c r="A43" t="s">
        <v>227</v>
      </c>
      <c r="K43">
        <v>1.9603999999999999</v>
      </c>
    </row>
    <row r="44" spans="1:12" x14ac:dyDescent="0.2">
      <c r="A44" t="s">
        <v>231</v>
      </c>
    </row>
    <row r="45" spans="1:12" x14ac:dyDescent="0.2">
      <c r="B45" t="s">
        <v>228</v>
      </c>
      <c r="E45" t="s">
        <v>232</v>
      </c>
      <c r="G45" t="s">
        <v>213</v>
      </c>
      <c r="I45" t="s">
        <v>233</v>
      </c>
      <c r="L45" t="s">
        <v>247</v>
      </c>
    </row>
    <row r="46" spans="1:12" x14ac:dyDescent="0.2">
      <c r="A46">
        <v>10</v>
      </c>
      <c r="B46">
        <v>988108</v>
      </c>
      <c r="E46">
        <f>B46/B59</f>
        <v>1.0026992799214165</v>
      </c>
      <c r="G46" s="84">
        <f t="shared" ref="G46:G55" si="9">(E46-1)*1000000</f>
        <v>2699.2799214164975</v>
      </c>
      <c r="I46">
        <f>B46-B59</f>
        <v>2660</v>
      </c>
      <c r="K46" s="84">
        <f>K$42*A46^K$43</f>
        <v>2559.6348190044673</v>
      </c>
      <c r="L46" s="60">
        <f>K46-I46</f>
        <v>-100.36518099553268</v>
      </c>
    </row>
    <row r="47" spans="1:12" x14ac:dyDescent="0.2">
      <c r="A47">
        <v>9</v>
      </c>
      <c r="B47">
        <v>880699</v>
      </c>
      <c r="E47">
        <f t="shared" ref="E47:E55" si="10">B47/B60</f>
        <v>1.002403859834029</v>
      </c>
      <c r="G47" s="84">
        <f t="shared" si="9"/>
        <v>2403.8598340290209</v>
      </c>
      <c r="I47">
        <f t="shared" ref="I47:I55" si="11">B47-B60</f>
        <v>2112</v>
      </c>
      <c r="K47" s="84">
        <f t="shared" ref="K47:K55" si="12">K$42*A47^K$43</f>
        <v>2081.9726726830586</v>
      </c>
      <c r="L47" s="60">
        <f t="shared" ref="L47:L55" si="13">K47-I47</f>
        <v>-30.02732731694141</v>
      </c>
    </row>
    <row r="48" spans="1:12" x14ac:dyDescent="0.2">
      <c r="A48">
        <v>8</v>
      </c>
      <c r="B48">
        <v>785011</v>
      </c>
      <c r="E48">
        <f t="shared" si="10"/>
        <v>1.0021421285711185</v>
      </c>
      <c r="G48" s="84">
        <f t="shared" si="9"/>
        <v>2142.1285711185069</v>
      </c>
      <c r="I48">
        <f t="shared" si="11"/>
        <v>1678</v>
      </c>
      <c r="K48" s="84">
        <f t="shared" si="12"/>
        <v>1652.7060610053527</v>
      </c>
      <c r="L48" s="60">
        <f t="shared" si="13"/>
        <v>-25.293938994647306</v>
      </c>
    </row>
    <row r="49" spans="1:12" x14ac:dyDescent="0.2">
      <c r="A49">
        <v>7</v>
      </c>
      <c r="B49">
        <v>691283</v>
      </c>
      <c r="E49">
        <f t="shared" si="10"/>
        <v>1.0018782962577555</v>
      </c>
      <c r="G49" s="84">
        <f t="shared" si="9"/>
        <v>1878.2962577554852</v>
      </c>
      <c r="I49">
        <f t="shared" si="11"/>
        <v>1296</v>
      </c>
      <c r="K49" s="84">
        <f t="shared" si="12"/>
        <v>1272.0617882320366</v>
      </c>
      <c r="L49" s="60">
        <f t="shared" si="13"/>
        <v>-23.938211767963367</v>
      </c>
    </row>
    <row r="50" spans="1:12" x14ac:dyDescent="0.2">
      <c r="A50">
        <v>6</v>
      </c>
      <c r="B50">
        <v>593444</v>
      </c>
      <c r="E50">
        <f t="shared" si="10"/>
        <v>1.0016355120469218</v>
      </c>
      <c r="G50" s="84">
        <f t="shared" si="9"/>
        <v>1635.5120469218054</v>
      </c>
      <c r="I50">
        <f t="shared" si="11"/>
        <v>969</v>
      </c>
      <c r="K50" s="84">
        <f t="shared" si="12"/>
        <v>940.29845072353839</v>
      </c>
      <c r="L50" s="60">
        <f t="shared" si="13"/>
        <v>-28.701549276461606</v>
      </c>
    </row>
    <row r="51" spans="1:12" x14ac:dyDescent="0.2">
      <c r="A51">
        <v>5</v>
      </c>
      <c r="B51">
        <v>495450</v>
      </c>
      <c r="E51">
        <f t="shared" si="10"/>
        <v>1.0013581848829172</v>
      </c>
      <c r="G51" s="84">
        <f t="shared" si="9"/>
        <v>1358.1848829171684</v>
      </c>
      <c r="I51">
        <f t="shared" si="11"/>
        <v>672</v>
      </c>
      <c r="K51" s="84">
        <f t="shared" si="12"/>
        <v>657.71660410580944</v>
      </c>
      <c r="L51" s="60">
        <f t="shared" si="13"/>
        <v>-14.283395894190562</v>
      </c>
    </row>
    <row r="52" spans="1:12" x14ac:dyDescent="0.2">
      <c r="A52">
        <v>4</v>
      </c>
      <c r="B52">
        <v>399408</v>
      </c>
      <c r="E52">
        <f t="shared" si="10"/>
        <v>1.00110033611634</v>
      </c>
      <c r="G52" s="84">
        <f t="shared" si="9"/>
        <v>1100.3361163399727</v>
      </c>
      <c r="I52">
        <f t="shared" si="11"/>
        <v>439</v>
      </c>
      <c r="K52" s="84">
        <f t="shared" si="12"/>
        <v>424.67472701918803</v>
      </c>
      <c r="L52" s="60">
        <f t="shared" si="13"/>
        <v>-14.325272980811974</v>
      </c>
    </row>
    <row r="53" spans="1:12" x14ac:dyDescent="0.2">
      <c r="A53">
        <v>3</v>
      </c>
      <c r="B53">
        <v>304574</v>
      </c>
      <c r="E53">
        <f t="shared" si="10"/>
        <v>1.0008247815643248</v>
      </c>
      <c r="G53" s="84">
        <f t="shared" si="9"/>
        <v>824.78156432475021</v>
      </c>
      <c r="I53">
        <f t="shared" si="11"/>
        <v>251</v>
      </c>
      <c r="K53" s="84">
        <f t="shared" si="12"/>
        <v>241.61645999814036</v>
      </c>
      <c r="L53" s="60">
        <f t="shared" si="13"/>
        <v>-9.3835400018596431</v>
      </c>
    </row>
    <row r="54" spans="1:12" x14ac:dyDescent="0.2">
      <c r="A54">
        <v>2</v>
      </c>
      <c r="B54">
        <v>207807</v>
      </c>
      <c r="E54">
        <f t="shared" si="10"/>
        <v>1.0005585220351387</v>
      </c>
      <c r="G54" s="84">
        <f t="shared" si="9"/>
        <v>558.52203513873098</v>
      </c>
      <c r="I54">
        <f t="shared" si="11"/>
        <v>116</v>
      </c>
      <c r="K54" s="84">
        <f t="shared" si="12"/>
        <v>109.12323009157139</v>
      </c>
      <c r="L54" s="60">
        <f t="shared" si="13"/>
        <v>-6.8767699084286136</v>
      </c>
    </row>
    <row r="55" spans="1:12" x14ac:dyDescent="0.2">
      <c r="A55">
        <v>1</v>
      </c>
      <c r="B55">
        <v>103923</v>
      </c>
      <c r="E55">
        <f t="shared" si="10"/>
        <v>1.0002695028634678</v>
      </c>
      <c r="G55" s="84">
        <f t="shared" si="9"/>
        <v>269.5028634678298</v>
      </c>
      <c r="I55">
        <f t="shared" si="11"/>
        <v>28</v>
      </c>
      <c r="K55">
        <f t="shared" si="12"/>
        <v>28.04</v>
      </c>
      <c r="L55" s="60">
        <f t="shared" si="13"/>
        <v>3.9999999999999147E-2</v>
      </c>
    </row>
    <row r="56" spans="1:12" x14ac:dyDescent="0.2">
      <c r="A56">
        <v>0</v>
      </c>
      <c r="B56">
        <v>0</v>
      </c>
    </row>
    <row r="57" spans="1:12" x14ac:dyDescent="0.2">
      <c r="G57" s="84">
        <f>G46/G55</f>
        <v>10.015774551273765</v>
      </c>
      <c r="I57">
        <f>I46/I55</f>
        <v>95</v>
      </c>
    </row>
    <row r="58" spans="1:12" x14ac:dyDescent="0.2">
      <c r="A58" t="s">
        <v>229</v>
      </c>
    </row>
    <row r="59" spans="1:12" x14ac:dyDescent="0.2">
      <c r="A59">
        <v>10</v>
      </c>
      <c r="B59">
        <v>985448</v>
      </c>
    </row>
    <row r="60" spans="1:12" x14ac:dyDescent="0.2">
      <c r="A60">
        <v>9</v>
      </c>
      <c r="B60">
        <v>878587</v>
      </c>
    </row>
    <row r="61" spans="1:12" x14ac:dyDescent="0.2">
      <c r="A61">
        <v>8</v>
      </c>
      <c r="B61">
        <v>783333</v>
      </c>
    </row>
    <row r="62" spans="1:12" x14ac:dyDescent="0.2">
      <c r="A62">
        <v>7</v>
      </c>
      <c r="B62">
        <v>689987</v>
      </c>
    </row>
    <row r="63" spans="1:12" x14ac:dyDescent="0.2">
      <c r="A63">
        <v>6</v>
      </c>
      <c r="B63">
        <v>592475</v>
      </c>
    </row>
    <row r="64" spans="1:12" x14ac:dyDescent="0.2">
      <c r="A64">
        <v>5</v>
      </c>
      <c r="B64">
        <v>494778</v>
      </c>
    </row>
    <row r="65" spans="1:12" x14ac:dyDescent="0.2">
      <c r="A65">
        <v>4</v>
      </c>
      <c r="B65">
        <v>398969</v>
      </c>
    </row>
    <row r="66" spans="1:12" x14ac:dyDescent="0.2">
      <c r="A66">
        <v>3</v>
      </c>
      <c r="B66">
        <v>304323</v>
      </c>
    </row>
    <row r="67" spans="1:12" x14ac:dyDescent="0.2">
      <c r="A67">
        <v>2</v>
      </c>
      <c r="B67">
        <v>207691</v>
      </c>
    </row>
    <row r="68" spans="1:12" x14ac:dyDescent="0.2">
      <c r="A68">
        <v>1</v>
      </c>
      <c r="B68">
        <v>103895</v>
      </c>
    </row>
    <row r="69" spans="1:12" x14ac:dyDescent="0.2">
      <c r="A69">
        <v>0</v>
      </c>
      <c r="B69">
        <v>0</v>
      </c>
    </row>
    <row r="72" spans="1:12" x14ac:dyDescent="0.2">
      <c r="A72" t="s">
        <v>230</v>
      </c>
    </row>
    <row r="74" spans="1:12" x14ac:dyDescent="0.2">
      <c r="A74" t="s">
        <v>234</v>
      </c>
    </row>
    <row r="76" spans="1:12" x14ac:dyDescent="0.2">
      <c r="A76" t="s">
        <v>235</v>
      </c>
    </row>
    <row r="77" spans="1:12" x14ac:dyDescent="0.2">
      <c r="B77">
        <v>100</v>
      </c>
      <c r="C77" t="s">
        <v>237</v>
      </c>
      <c r="D77">
        <v>2700</v>
      </c>
      <c r="E77" t="s">
        <v>239</v>
      </c>
    </row>
    <row r="78" spans="1:12" x14ac:dyDescent="0.2">
      <c r="B78">
        <v>0.13300000000000001</v>
      </c>
      <c r="C78" t="s">
        <v>242</v>
      </c>
      <c r="G78">
        <v>0.13100000000000001</v>
      </c>
    </row>
    <row r="79" spans="1:12" x14ac:dyDescent="0.2">
      <c r="B79">
        <v>1.5</v>
      </c>
      <c r="C79" t="s">
        <v>248</v>
      </c>
      <c r="G79">
        <v>1.5</v>
      </c>
    </row>
    <row r="80" spans="1:12" x14ac:dyDescent="0.2">
      <c r="A80" t="s">
        <v>236</v>
      </c>
      <c r="B80" t="s">
        <v>238</v>
      </c>
      <c r="E80" t="s">
        <v>243</v>
      </c>
      <c r="F80" t="s">
        <v>244</v>
      </c>
      <c r="G80" t="s">
        <v>246</v>
      </c>
      <c r="H80" t="s">
        <v>245</v>
      </c>
      <c r="I80" t="s">
        <v>247</v>
      </c>
      <c r="J80" t="s">
        <v>250</v>
      </c>
      <c r="K80" t="s">
        <v>249</v>
      </c>
      <c r="L80" t="s">
        <v>251</v>
      </c>
    </row>
    <row r="81" spans="1:14" x14ac:dyDescent="0.2">
      <c r="A81">
        <v>100</v>
      </c>
      <c r="B81" s="45">
        <f>B$77</f>
        <v>100</v>
      </c>
      <c r="C81" s="45"/>
      <c r="D81" s="60">
        <f>B81/B$81</f>
        <v>1</v>
      </c>
      <c r="E81" s="49">
        <f>B81+B$78*(A81/100)^B$79</f>
        <v>100.133</v>
      </c>
      <c r="F81">
        <f>(E81/B81)^2*A81</f>
        <v>100.26617689000001</v>
      </c>
      <c r="G81">
        <f>F81-A81</f>
        <v>0.26617689000001121</v>
      </c>
      <c r="H81">
        <f t="shared" ref="H81:H90" si="14">I46/10000</f>
        <v>0.26600000000000001</v>
      </c>
      <c r="I81">
        <f>G81-H81</f>
        <v>1.7689000001119837E-4</v>
      </c>
      <c r="J81" s="45">
        <f>B81^2</f>
        <v>10000</v>
      </c>
      <c r="K81" s="47">
        <f>E81^2</f>
        <v>10026.617688999999</v>
      </c>
      <c r="L81">
        <f>K81/J81</f>
        <v>1.0026617688999999</v>
      </c>
    </row>
    <row r="82" spans="1:14" x14ac:dyDescent="0.2">
      <c r="A82">
        <v>90</v>
      </c>
      <c r="B82" s="45">
        <f t="shared" ref="B82:B90" si="15">SQRT(A82/A$81)*B$77</f>
        <v>94.868329805051374</v>
      </c>
      <c r="C82" s="45"/>
      <c r="D82" s="60">
        <f>B82/B$81</f>
        <v>0.94868329805051377</v>
      </c>
      <c r="E82" s="49">
        <f t="shared" ref="E82:E90" si="16">B82+B$78*(A82/100)^B$79</f>
        <v>94.981887195828023</v>
      </c>
      <c r="F82">
        <f t="shared" ref="F82:F90" si="17">(E82/B82)^2*A82</f>
        <v>90.215588952810009</v>
      </c>
      <c r="G82">
        <f t="shared" ref="G82:G90" si="18">F82-A82</f>
        <v>0.215588952810009</v>
      </c>
      <c r="H82">
        <f t="shared" si="14"/>
        <v>0.2112</v>
      </c>
      <c r="I82">
        <f t="shared" ref="I82:I90" si="19">G82-H82</f>
        <v>4.3889528100090058E-3</v>
      </c>
      <c r="J82" s="45">
        <f t="shared" ref="J82:J90" si="20">B82^2</f>
        <v>8999.9999999999982</v>
      </c>
      <c r="K82" s="47">
        <f t="shared" ref="K82:K90" si="21">E82^2</f>
        <v>9021.5588952809994</v>
      </c>
      <c r="L82">
        <f t="shared" ref="L82:L90" si="22">K82/J82</f>
        <v>1.0023954328090001</v>
      </c>
    </row>
    <row r="83" spans="1:14" x14ac:dyDescent="0.2">
      <c r="A83">
        <v>80</v>
      </c>
      <c r="B83" s="45">
        <f t="shared" si="15"/>
        <v>89.442719099991592</v>
      </c>
      <c r="C83" s="45"/>
      <c r="D83" s="60">
        <f t="shared" ref="D83:D90" si="23">B83/B$81</f>
        <v>0.89442719099991597</v>
      </c>
      <c r="E83" s="49">
        <f t="shared" si="16"/>
        <v>89.537886153113988</v>
      </c>
      <c r="F83">
        <f t="shared" si="17"/>
        <v>80.170330567679997</v>
      </c>
      <c r="G83">
        <f t="shared" si="18"/>
        <v>0.1703305676799971</v>
      </c>
      <c r="H83">
        <f t="shared" si="14"/>
        <v>0.1678</v>
      </c>
      <c r="I83">
        <f t="shared" si="19"/>
        <v>2.5305676799970978E-3</v>
      </c>
      <c r="J83" s="45">
        <f t="shared" si="20"/>
        <v>8000.0000000000009</v>
      </c>
      <c r="K83" s="47">
        <f t="shared" si="21"/>
        <v>8017.0330567680012</v>
      </c>
      <c r="L83">
        <f t="shared" si="22"/>
        <v>1.002129132096</v>
      </c>
    </row>
    <row r="84" spans="1:14" x14ac:dyDescent="0.2">
      <c r="A84">
        <v>70</v>
      </c>
      <c r="B84" s="45">
        <f t="shared" si="15"/>
        <v>83.66600265340756</v>
      </c>
      <c r="C84" s="45"/>
      <c r="D84" s="60">
        <f t="shared" si="23"/>
        <v>0.83666002653407556</v>
      </c>
      <c r="E84" s="49">
        <f t="shared" si="16"/>
        <v>83.743895701877889</v>
      </c>
      <c r="F84">
        <f t="shared" si="17"/>
        <v>70.130400673270003</v>
      </c>
      <c r="G84">
        <f t="shared" si="18"/>
        <v>0.13040067327000315</v>
      </c>
      <c r="H84">
        <f t="shared" si="14"/>
        <v>0.12959999999999999</v>
      </c>
      <c r="I84">
        <f t="shared" si="19"/>
        <v>8.0067327000316046E-4</v>
      </c>
      <c r="J84" s="45">
        <f t="shared" si="20"/>
        <v>7000.0000000000009</v>
      </c>
      <c r="K84" s="47">
        <f t="shared" si="21"/>
        <v>7013.0400673270024</v>
      </c>
      <c r="L84">
        <f t="shared" si="22"/>
        <v>1.0018628667610001</v>
      </c>
    </row>
    <row r="85" spans="1:14" x14ac:dyDescent="0.2">
      <c r="A85">
        <v>60</v>
      </c>
      <c r="B85" s="45">
        <f t="shared" si="15"/>
        <v>77.459666924148337</v>
      </c>
      <c r="C85" s="45"/>
      <c r="D85" s="60">
        <f t="shared" si="23"/>
        <v>0.7745966692414834</v>
      </c>
      <c r="E85" s="49">
        <f t="shared" si="16"/>
        <v>77.521479738353804</v>
      </c>
      <c r="F85">
        <f t="shared" si="17"/>
        <v>60.095798208239984</v>
      </c>
      <c r="G85">
        <f t="shared" si="18"/>
        <v>9.5798208239983751E-2</v>
      </c>
      <c r="H85">
        <f t="shared" si="14"/>
        <v>9.69E-2</v>
      </c>
      <c r="I85">
        <f t="shared" si="19"/>
        <v>-1.1017917600162491E-3</v>
      </c>
      <c r="J85" s="45">
        <f t="shared" si="20"/>
        <v>6000</v>
      </c>
      <c r="K85" s="47">
        <f t="shared" si="21"/>
        <v>6009.5798208239994</v>
      </c>
      <c r="L85">
        <f t="shared" si="22"/>
        <v>1.0015966368039999</v>
      </c>
    </row>
    <row r="86" spans="1:14" x14ac:dyDescent="0.2">
      <c r="A86">
        <v>50</v>
      </c>
      <c r="B86" s="45">
        <f t="shared" si="15"/>
        <v>70.710678118654755</v>
      </c>
      <c r="C86" s="45"/>
      <c r="D86" s="60">
        <f t="shared" si="23"/>
        <v>0.70710678118654757</v>
      </c>
      <c r="E86" s="49">
        <f t="shared" si="16"/>
        <v>70.757700719603662</v>
      </c>
      <c r="F86">
        <f t="shared" si="17"/>
        <v>50.066522111249988</v>
      </c>
      <c r="G86">
        <f t="shared" si="18"/>
        <v>6.6522111249987859E-2</v>
      </c>
      <c r="H86">
        <f t="shared" si="14"/>
        <v>6.7199999999999996E-2</v>
      </c>
      <c r="I86">
        <f t="shared" si="19"/>
        <v>-6.7788875001213722E-4</v>
      </c>
      <c r="J86" s="45">
        <f t="shared" si="20"/>
        <v>5000</v>
      </c>
      <c r="K86" s="47">
        <f t="shared" si="21"/>
        <v>5006.6522111250006</v>
      </c>
      <c r="L86">
        <f t="shared" si="22"/>
        <v>1.001330442225</v>
      </c>
    </row>
    <row r="87" spans="1:14" x14ac:dyDescent="0.2">
      <c r="A87">
        <v>40</v>
      </c>
      <c r="B87" s="45">
        <f t="shared" si="15"/>
        <v>63.245553203367585</v>
      </c>
      <c r="C87" s="45"/>
      <c r="D87" s="60">
        <f t="shared" si="23"/>
        <v>0.63245553203367588</v>
      </c>
      <c r="E87" s="49">
        <f t="shared" si="16"/>
        <v>63.279199837671776</v>
      </c>
      <c r="F87">
        <f t="shared" si="17"/>
        <v>40.04257132096</v>
      </c>
      <c r="G87">
        <f t="shared" si="18"/>
        <v>4.2571320960000492E-2</v>
      </c>
      <c r="H87">
        <f t="shared" si="14"/>
        <v>4.3900000000000002E-2</v>
      </c>
      <c r="I87">
        <f t="shared" si="19"/>
        <v>-1.3286790399995099E-3</v>
      </c>
      <c r="J87" s="45">
        <f t="shared" si="20"/>
        <v>4000</v>
      </c>
      <c r="K87" s="47">
        <f t="shared" si="21"/>
        <v>4004.2571320959996</v>
      </c>
      <c r="L87">
        <f t="shared" si="22"/>
        <v>1.001064283024</v>
      </c>
    </row>
    <row r="88" spans="1:14" x14ac:dyDescent="0.2">
      <c r="A88">
        <v>30</v>
      </c>
      <c r="B88" s="45">
        <f t="shared" si="15"/>
        <v>54.772255750516607</v>
      </c>
      <c r="C88" s="45"/>
      <c r="D88" s="60">
        <f t="shared" si="23"/>
        <v>0.54772255750516607</v>
      </c>
      <c r="E88" s="49">
        <f t="shared" si="16"/>
        <v>54.794109880561059</v>
      </c>
      <c r="F88">
        <f t="shared" si="17"/>
        <v>30.02394477603</v>
      </c>
      <c r="G88">
        <f t="shared" si="18"/>
        <v>2.3944776029999559E-2</v>
      </c>
      <c r="H88">
        <f t="shared" si="14"/>
        <v>2.5100000000000001E-2</v>
      </c>
      <c r="I88">
        <f t="shared" si="19"/>
        <v>-1.1552239700004414E-3</v>
      </c>
      <c r="J88" s="45">
        <f t="shared" si="20"/>
        <v>2999.9999999999995</v>
      </c>
      <c r="K88" s="47">
        <f t="shared" si="21"/>
        <v>3002.3944776029989</v>
      </c>
      <c r="L88">
        <f t="shared" si="22"/>
        <v>1.0007981592009998</v>
      </c>
    </row>
    <row r="89" spans="1:14" x14ac:dyDescent="0.2">
      <c r="A89">
        <v>20</v>
      </c>
      <c r="B89" s="45">
        <f t="shared" si="15"/>
        <v>44.721359549995796</v>
      </c>
      <c r="C89" s="45"/>
      <c r="D89" s="60">
        <f t="shared" si="23"/>
        <v>0.44721359549995798</v>
      </c>
      <c r="E89" s="49">
        <f t="shared" si="16"/>
        <v>44.733255431636096</v>
      </c>
      <c r="F89">
        <f t="shared" si="17"/>
        <v>20.010641415120002</v>
      </c>
      <c r="G89">
        <f t="shared" si="18"/>
        <v>1.0641415120002051E-2</v>
      </c>
      <c r="H89">
        <f t="shared" si="14"/>
        <v>1.1599999999999999E-2</v>
      </c>
      <c r="I89">
        <f t="shared" si="19"/>
        <v>-9.5858487999794795E-4</v>
      </c>
      <c r="J89" s="45">
        <f t="shared" si="20"/>
        <v>2000.0000000000002</v>
      </c>
      <c r="K89" s="47">
        <f t="shared" si="21"/>
        <v>2001.0641415120003</v>
      </c>
      <c r="L89">
        <f t="shared" si="22"/>
        <v>1.0005320707560001</v>
      </c>
    </row>
    <row r="90" spans="1:14" x14ac:dyDescent="0.2">
      <c r="A90">
        <v>10</v>
      </c>
      <c r="B90" s="45">
        <f t="shared" si="15"/>
        <v>31.622776601683793</v>
      </c>
      <c r="C90" s="45"/>
      <c r="D90" s="60">
        <f t="shared" si="23"/>
        <v>0.31622776601683794</v>
      </c>
      <c r="E90" s="49">
        <f t="shared" si="16"/>
        <v>31.626982430971818</v>
      </c>
      <c r="F90">
        <f t="shared" si="17"/>
        <v>10.002660176890004</v>
      </c>
      <c r="G90">
        <f t="shared" si="18"/>
        <v>2.6601768900036404E-3</v>
      </c>
      <c r="H90">
        <f t="shared" si="14"/>
        <v>2.8E-3</v>
      </c>
      <c r="I90">
        <f t="shared" si="19"/>
        <v>-1.3982310999635953E-4</v>
      </c>
      <c r="J90" s="45">
        <f t="shared" si="20"/>
        <v>1000</v>
      </c>
      <c r="K90" s="47">
        <f t="shared" si="21"/>
        <v>1000.266017689</v>
      </c>
      <c r="L90">
        <f t="shared" si="22"/>
        <v>1.0002660176889999</v>
      </c>
    </row>
    <row r="92" spans="1:14" x14ac:dyDescent="0.2">
      <c r="A92" t="s">
        <v>240</v>
      </c>
    </row>
    <row r="93" spans="1:14" x14ac:dyDescent="0.2">
      <c r="A93" t="s">
        <v>241</v>
      </c>
    </row>
    <row r="95" spans="1:14" x14ac:dyDescent="0.2">
      <c r="E95">
        <v>0.01</v>
      </c>
    </row>
    <row r="96" spans="1:14" x14ac:dyDescent="0.2">
      <c r="D96">
        <v>100</v>
      </c>
      <c r="E96">
        <f>D96+E$95</f>
        <v>100.01</v>
      </c>
      <c r="F96">
        <f>(E96/D96)^2</f>
        <v>1.0002000099999999</v>
      </c>
      <c r="N96" t="s">
        <v>252</v>
      </c>
    </row>
    <row r="97" spans="1:6" x14ac:dyDescent="0.2">
      <c r="D97">
        <v>50</v>
      </c>
      <c r="E97">
        <f t="shared" ref="E97:E98" si="24">D97+E$95</f>
        <v>50.01</v>
      </c>
      <c r="F97">
        <f>(E97/D97)^2</f>
        <v>1.0004000399999999</v>
      </c>
    </row>
    <row r="98" spans="1:6" x14ac:dyDescent="0.2">
      <c r="D98">
        <v>10</v>
      </c>
      <c r="E98">
        <f t="shared" si="24"/>
        <v>10.01</v>
      </c>
      <c r="F98">
        <f>(E98/D98)^2</f>
        <v>1.0020009999999997</v>
      </c>
    </row>
    <row r="101" spans="1:6" x14ac:dyDescent="0.2">
      <c r="A101" t="s">
        <v>236</v>
      </c>
      <c r="B101" t="s">
        <v>238</v>
      </c>
      <c r="E101" t="s">
        <v>243</v>
      </c>
      <c r="F101" t="s">
        <v>73</v>
      </c>
    </row>
    <row r="102" spans="1:6" x14ac:dyDescent="0.2">
      <c r="A102">
        <v>100</v>
      </c>
      <c r="B102" s="45">
        <f>B$77</f>
        <v>100</v>
      </c>
      <c r="C102" s="45"/>
      <c r="D102" s="60">
        <f>B102/B$81</f>
        <v>1</v>
      </c>
      <c r="E102" s="49">
        <f>B102+B$78</f>
        <v>100.133</v>
      </c>
      <c r="F102">
        <f>(E102/B102)^2*A102</f>
        <v>100.26617689000001</v>
      </c>
    </row>
    <row r="103" spans="1:6" x14ac:dyDescent="0.2">
      <c r="A103">
        <v>90</v>
      </c>
      <c r="B103" s="45">
        <f t="shared" ref="B103:B111" si="25">SQRT(A103/A$81)*B$77</f>
        <v>94.868329805051374</v>
      </c>
      <c r="C103" s="45"/>
      <c r="D103" s="60">
        <f>B103/B$81</f>
        <v>0.94868329805051377</v>
      </c>
      <c r="E103" s="49">
        <f t="shared" ref="E103:E111" si="26">B103+B$78</f>
        <v>95.00132980505137</v>
      </c>
      <c r="F103">
        <f t="shared" ref="F103:F111" si="27">(E103/B103)^2*A103</f>
        <v>90.252526647281442</v>
      </c>
    </row>
    <row r="104" spans="1:6" x14ac:dyDescent="0.2">
      <c r="A104">
        <v>80</v>
      </c>
      <c r="B104" s="45">
        <f t="shared" si="25"/>
        <v>89.442719099991592</v>
      </c>
      <c r="C104" s="45"/>
      <c r="D104" s="60">
        <f t="shared" ref="D104:D111" si="28">B104/B$81</f>
        <v>0.89442719099991597</v>
      </c>
      <c r="E104" s="49">
        <f t="shared" si="26"/>
        <v>89.575719099991588</v>
      </c>
      <c r="F104">
        <f t="shared" si="27"/>
        <v>80.238094522805952</v>
      </c>
    </row>
    <row r="105" spans="1:6" x14ac:dyDescent="0.2">
      <c r="A105">
        <v>70</v>
      </c>
      <c r="B105" s="45">
        <f t="shared" si="25"/>
        <v>83.66600265340756</v>
      </c>
      <c r="C105" s="45"/>
      <c r="D105" s="60">
        <f t="shared" si="28"/>
        <v>0.83666002653407556</v>
      </c>
      <c r="E105" s="49">
        <f t="shared" si="26"/>
        <v>83.799002653407555</v>
      </c>
      <c r="F105">
        <f t="shared" si="27"/>
        <v>70.222728457058068</v>
      </c>
    </row>
    <row r="106" spans="1:6" x14ac:dyDescent="0.2">
      <c r="A106">
        <v>60</v>
      </c>
      <c r="B106" s="45">
        <f t="shared" si="25"/>
        <v>77.459666924148337</v>
      </c>
      <c r="C106" s="45"/>
      <c r="D106" s="60">
        <f t="shared" si="28"/>
        <v>0.7745966692414834</v>
      </c>
      <c r="E106" s="49">
        <f t="shared" si="26"/>
        <v>77.592666924148332</v>
      </c>
      <c r="F106">
        <f t="shared" si="27"/>
        <v>60.20621960401823</v>
      </c>
    </row>
    <row r="107" spans="1:6" x14ac:dyDescent="0.2">
      <c r="A107">
        <v>50</v>
      </c>
      <c r="B107" s="45">
        <f t="shared" si="25"/>
        <v>70.710678118654755</v>
      </c>
      <c r="C107" s="45"/>
      <c r="D107" s="60">
        <f t="shared" si="28"/>
        <v>0.70710678118654757</v>
      </c>
      <c r="E107" s="49">
        <f t="shared" si="26"/>
        <v>70.843678118654751</v>
      </c>
      <c r="F107">
        <f t="shared" si="27"/>
        <v>50.188267293795619</v>
      </c>
    </row>
    <row r="108" spans="1:6" x14ac:dyDescent="0.2">
      <c r="A108">
        <v>40</v>
      </c>
      <c r="B108" s="45">
        <f t="shared" si="25"/>
        <v>63.245553203367585</v>
      </c>
      <c r="C108" s="45"/>
      <c r="D108" s="60">
        <f t="shared" si="28"/>
        <v>0.63245553203367588</v>
      </c>
      <c r="E108" s="49">
        <f t="shared" si="26"/>
        <v>63.378553203367588</v>
      </c>
      <c r="F108">
        <f t="shared" si="27"/>
        <v>40.168410061520952</v>
      </c>
    </row>
    <row r="109" spans="1:6" x14ac:dyDescent="0.2">
      <c r="A109">
        <v>30</v>
      </c>
      <c r="B109" s="45">
        <f t="shared" si="25"/>
        <v>54.772255750516607</v>
      </c>
      <c r="C109" s="45"/>
      <c r="D109" s="60">
        <f t="shared" si="28"/>
        <v>0.54772255750516607</v>
      </c>
      <c r="E109" s="49">
        <f t="shared" si="26"/>
        <v>54.905255750516609</v>
      </c>
      <c r="F109">
        <f t="shared" si="27"/>
        <v>30.145871090296371</v>
      </c>
    </row>
    <row r="110" spans="1:6" x14ac:dyDescent="0.2">
      <c r="A110">
        <v>20</v>
      </c>
      <c r="B110" s="45">
        <f t="shared" si="25"/>
        <v>44.721359549995796</v>
      </c>
      <c r="C110" s="45"/>
      <c r="D110" s="60">
        <f t="shared" si="28"/>
        <v>0.44721359549995798</v>
      </c>
      <c r="E110" s="49">
        <f t="shared" si="26"/>
        <v>44.854359549995799</v>
      </c>
      <c r="F110">
        <f t="shared" si="27"/>
        <v>20.119135706402993</v>
      </c>
    </row>
    <row r="111" spans="1:6" x14ac:dyDescent="0.2">
      <c r="A111">
        <v>10</v>
      </c>
      <c r="B111" s="45">
        <f t="shared" si="25"/>
        <v>31.622776601683793</v>
      </c>
      <c r="C111" s="45"/>
      <c r="D111" s="60">
        <f t="shared" si="28"/>
        <v>0.31622776601683794</v>
      </c>
      <c r="E111" s="49">
        <f t="shared" si="26"/>
        <v>31.755776601683792</v>
      </c>
      <c r="F111">
        <f t="shared" si="27"/>
        <v>10.084293475760477</v>
      </c>
    </row>
    <row r="113" spans="2:5" x14ac:dyDescent="0.2">
      <c r="B113" s="45"/>
    </row>
    <row r="123" spans="2:5" x14ac:dyDescent="0.2">
      <c r="D123">
        <v>101</v>
      </c>
      <c r="E123">
        <v>1001</v>
      </c>
    </row>
    <row r="124" spans="2:5" x14ac:dyDescent="0.2">
      <c r="D124">
        <v>100</v>
      </c>
      <c r="E124">
        <v>1000</v>
      </c>
    </row>
    <row r="125" spans="2:5" x14ac:dyDescent="0.2">
      <c r="D125" s="60">
        <f>(D123/D124)^2</f>
        <v>1.0201</v>
      </c>
      <c r="E125" s="49">
        <f>(E123/E124)^2</f>
        <v>1.0020009999999997</v>
      </c>
    </row>
    <row r="135" spans="1:15" x14ac:dyDescent="0.2">
      <c r="A135" t="s">
        <v>253</v>
      </c>
    </row>
    <row r="136" spans="1:15" x14ac:dyDescent="0.2">
      <c r="B136" t="s">
        <v>259</v>
      </c>
      <c r="E136" t="s">
        <v>260</v>
      </c>
    </row>
    <row r="137" spans="1:15" x14ac:dyDescent="0.2">
      <c r="B137" t="s">
        <v>255</v>
      </c>
      <c r="C137" t="s">
        <v>256</v>
      </c>
      <c r="E137" t="s">
        <v>255</v>
      </c>
      <c r="F137" t="s">
        <v>256</v>
      </c>
    </row>
    <row r="138" spans="1:15" x14ac:dyDescent="0.2">
      <c r="A138" t="s">
        <v>254</v>
      </c>
      <c r="B138" s="85">
        <v>3.4420000000000002E-11</v>
      </c>
      <c r="C138" s="85">
        <v>3.9099999999999999E-10</v>
      </c>
      <c r="E138" s="85">
        <f>B138-B$140</f>
        <v>3.4417990000000005E-11</v>
      </c>
      <c r="F138" s="85">
        <f>C138-C$140</f>
        <v>3.9475000000000001E-10</v>
      </c>
      <c r="H138" t="s">
        <v>263</v>
      </c>
    </row>
    <row r="139" spans="1:15" x14ac:dyDescent="0.2">
      <c r="A139" t="s">
        <v>257</v>
      </c>
      <c r="B139" s="85">
        <v>9.6946999999999991E-13</v>
      </c>
      <c r="C139" s="85">
        <v>6.4169999999999997E-11</v>
      </c>
      <c r="E139" s="85">
        <f t="shared" ref="E139:F139" si="29">B139-B$140</f>
        <v>9.6746E-13</v>
      </c>
      <c r="F139" s="85">
        <f t="shared" si="29"/>
        <v>6.7919999999999997E-11</v>
      </c>
    </row>
    <row r="140" spans="1:15" x14ac:dyDescent="0.2">
      <c r="A140" t="s">
        <v>258</v>
      </c>
      <c r="B140" s="85">
        <v>2.0099999999999999E-15</v>
      </c>
      <c r="C140" s="85">
        <v>-3.75E-12</v>
      </c>
      <c r="E140" s="85"/>
      <c r="F140" s="85"/>
      <c r="H140" t="s">
        <v>262</v>
      </c>
      <c r="K140" t="s">
        <v>233</v>
      </c>
    </row>
    <row r="141" spans="1:15" x14ac:dyDescent="0.2">
      <c r="H141" t="s">
        <v>261</v>
      </c>
      <c r="I141" t="s">
        <v>216</v>
      </c>
      <c r="O141" s="72" t="s">
        <v>265</v>
      </c>
    </row>
    <row r="142" spans="1:15" x14ac:dyDescent="0.2">
      <c r="D142" s="72" t="s">
        <v>69</v>
      </c>
      <c r="K142" t="s">
        <v>264</v>
      </c>
      <c r="L142" t="s">
        <v>245</v>
      </c>
    </row>
    <row r="143" spans="1:15" x14ac:dyDescent="0.2">
      <c r="D143" s="88">
        <v>168.43771269999999</v>
      </c>
      <c r="E143">
        <f>D143/D$152</f>
        <v>0.28003123808206909</v>
      </c>
      <c r="F143">
        <f>E143*600</f>
        <v>168.01874284924145</v>
      </c>
      <c r="G143">
        <v>1</v>
      </c>
      <c r="H143" s="46">
        <v>3.34591605367362E-5</v>
      </c>
      <c r="I143" s="46">
        <v>9.4019575463954997E-7</v>
      </c>
      <c r="K143" s="46">
        <f>H143-I143</f>
        <v>3.251896478209665E-5</v>
      </c>
      <c r="L143" s="46">
        <f t="shared" ref="L143:L152" si="30">N143*0.000001</f>
        <v>3.1285466666655659E-5</v>
      </c>
      <c r="M143" s="60">
        <f>L143/K143</f>
        <v>0.96206834615719083</v>
      </c>
      <c r="N143" s="86">
        <v>31.285466666655658</v>
      </c>
      <c r="O143" s="87">
        <f>H143/G143</f>
        <v>3.34591605367362E-5</v>
      </c>
    </row>
    <row r="144" spans="1:15" x14ac:dyDescent="0.2">
      <c r="D144" s="88">
        <v>244.46014822222222</v>
      </c>
      <c r="E144">
        <f t="shared" ref="E144:E152" si="31">D144/D$152</f>
        <v>0.40642013520048836</v>
      </c>
      <c r="F144">
        <f t="shared" ref="F144:F152" si="32">E144*600</f>
        <v>243.85208112029301</v>
      </c>
      <c r="G144">
        <v>2</v>
      </c>
      <c r="H144" s="46">
        <v>1.35723866167225E-4</v>
      </c>
      <c r="I144" s="46">
        <v>3.81254028339328E-6</v>
      </c>
      <c r="K144" s="46">
        <f t="shared" ref="K144:K152" si="33">H144-I144</f>
        <v>1.3191132588383171E-4</v>
      </c>
      <c r="L144" s="46">
        <f t="shared" si="30"/>
        <v>1.305013555555623E-4</v>
      </c>
      <c r="M144" s="60">
        <f t="shared" ref="M144:M152" si="34">L144/K144</f>
        <v>0.98931122616786449</v>
      </c>
      <c r="N144" s="86">
        <v>130.5013555555623</v>
      </c>
      <c r="O144" s="87">
        <f t="shared" ref="O144:O152" si="35">H144/G144</f>
        <v>6.7861933083612498E-5</v>
      </c>
    </row>
    <row r="145" spans="4:15" x14ac:dyDescent="0.2">
      <c r="D145" s="88">
        <v>302.2119714333333</v>
      </c>
      <c r="E145">
        <f t="shared" si="31"/>
        <v>0.50243375528631973</v>
      </c>
      <c r="F145">
        <f t="shared" si="32"/>
        <v>301.46025317179186</v>
      </c>
      <c r="G145">
        <v>3</v>
      </c>
      <c r="H145" s="46">
        <v>3.0696246890665703E-4</v>
      </c>
      <c r="I145" s="46">
        <v>8.6198203460563505E-6</v>
      </c>
      <c r="K145" s="46">
        <f t="shared" si="33"/>
        <v>2.9834264856060068E-4</v>
      </c>
      <c r="L145" s="46">
        <f t="shared" si="30"/>
        <v>2.8345273333324483E-4</v>
      </c>
      <c r="M145" s="60">
        <f t="shared" si="34"/>
        <v>0.9500912279917253</v>
      </c>
      <c r="N145" s="86">
        <v>283.45273333324485</v>
      </c>
      <c r="O145" s="87">
        <f t="shared" si="35"/>
        <v>1.0232082296888568E-4</v>
      </c>
    </row>
    <row r="146" spans="4:15" x14ac:dyDescent="0.2">
      <c r="D146" s="88">
        <v>351.35960526666662</v>
      </c>
      <c r="E146">
        <f t="shared" si="31"/>
        <v>0.58414272966348435</v>
      </c>
      <c r="F146">
        <f t="shared" si="32"/>
        <v>350.48563779809064</v>
      </c>
      <c r="G146">
        <v>4</v>
      </c>
      <c r="H146" s="46">
        <v>5.4723360546754497E-4</v>
      </c>
      <c r="I146" s="46">
        <v>1.5361737423447098E-5</v>
      </c>
      <c r="K146" s="46">
        <f t="shared" si="33"/>
        <v>5.3187186804409792E-4</v>
      </c>
      <c r="L146" s="46">
        <f t="shared" si="30"/>
        <v>4.912474888889018E-4</v>
      </c>
      <c r="M146" s="60">
        <f t="shared" si="34"/>
        <v>0.92361998895600939</v>
      </c>
      <c r="N146" s="86">
        <v>491.24748888890178</v>
      </c>
      <c r="O146" s="87">
        <f t="shared" si="35"/>
        <v>1.3680840136688624E-4</v>
      </c>
    </row>
    <row r="147" spans="4:15" x14ac:dyDescent="0.2">
      <c r="D147" s="88">
        <v>397.43380239999999</v>
      </c>
      <c r="E147">
        <f t="shared" si="31"/>
        <v>0.66074205092038396</v>
      </c>
      <c r="F147">
        <f t="shared" si="32"/>
        <v>396.44523055223038</v>
      </c>
      <c r="G147">
        <v>5</v>
      </c>
      <c r="H147" s="46">
        <v>8.5654569588855501E-4</v>
      </c>
      <c r="I147" s="46">
        <v>2.40365872228309E-5</v>
      </c>
      <c r="K147" s="46">
        <f t="shared" si="33"/>
        <v>8.3250910866572415E-4</v>
      </c>
      <c r="L147" s="46">
        <f t="shared" si="30"/>
        <v>7.5914751111116885E-4</v>
      </c>
      <c r="M147" s="60">
        <f t="shared" si="34"/>
        <v>0.91187892505808965</v>
      </c>
      <c r="N147" s="86">
        <v>759.14751111116891</v>
      </c>
      <c r="O147" s="87">
        <f t="shared" si="35"/>
        <v>1.7130913917771099E-4</v>
      </c>
    </row>
    <row r="148" spans="4:15" x14ac:dyDescent="0.2">
      <c r="D148" s="88">
        <v>441.3742000111111</v>
      </c>
      <c r="E148">
        <f t="shared" si="31"/>
        <v>0.73379388561712666</v>
      </c>
      <c r="F148">
        <f t="shared" si="32"/>
        <v>440.27633137027601</v>
      </c>
      <c r="G148">
        <v>6</v>
      </c>
      <c r="H148" s="46">
        <v>1.2349707331326099E-3</v>
      </c>
      <c r="I148" s="46">
        <v>3.4644445991993603E-5</v>
      </c>
      <c r="K148" s="46">
        <f t="shared" si="33"/>
        <v>1.2003262871406162E-3</v>
      </c>
      <c r="L148" s="46">
        <f t="shared" si="30"/>
        <v>1.091863077777866E-3</v>
      </c>
      <c r="M148" s="60">
        <f t="shared" si="34"/>
        <v>0.90963856201039439</v>
      </c>
      <c r="N148" s="86">
        <v>1091.863077777866</v>
      </c>
      <c r="O148" s="87">
        <f t="shared" si="35"/>
        <v>2.0582845552210164E-4</v>
      </c>
    </row>
    <row r="149" spans="4:15" x14ac:dyDescent="0.2">
      <c r="D149" s="88">
        <v>483.02967847777774</v>
      </c>
      <c r="E149">
        <f t="shared" si="31"/>
        <v>0.80304699420509218</v>
      </c>
      <c r="F149">
        <f t="shared" si="32"/>
        <v>481.82819652305528</v>
      </c>
      <c r="G149">
        <v>7</v>
      </c>
      <c r="H149" s="46">
        <v>1.6826045289417501E-3</v>
      </c>
      <c r="I149" s="46">
        <v>4.71860519859479E-5</v>
      </c>
      <c r="K149" s="46">
        <f t="shared" si="33"/>
        <v>1.6354184769558021E-3</v>
      </c>
      <c r="L149" s="46">
        <f t="shared" si="30"/>
        <v>1.4849620333332589E-3</v>
      </c>
      <c r="M149" s="60">
        <f t="shared" si="34"/>
        <v>0.9080012573279681</v>
      </c>
      <c r="N149" s="86">
        <v>1484.9620333332591</v>
      </c>
      <c r="O149" s="87">
        <f t="shared" si="35"/>
        <v>2.4037207556310716E-4</v>
      </c>
    </row>
    <row r="150" spans="4:15" x14ac:dyDescent="0.2">
      <c r="D150" s="88">
        <v>521.61113648888897</v>
      </c>
      <c r="E150">
        <f t="shared" si="31"/>
        <v>0.86718947916691058</v>
      </c>
      <c r="F150">
        <f t="shared" si="32"/>
        <v>520.31368750014633</v>
      </c>
      <c r="G150">
        <v>8</v>
      </c>
      <c r="H150" s="46">
        <v>2.1995667959954202E-3</v>
      </c>
      <c r="I150" s="46">
        <v>6.1662804422435395E-5</v>
      </c>
      <c r="K150" s="46">
        <f t="shared" si="33"/>
        <v>2.1379039915729848E-3</v>
      </c>
      <c r="L150" s="46">
        <f t="shared" si="30"/>
        <v>1.9185299999997518E-3</v>
      </c>
      <c r="M150" s="60">
        <f t="shared" si="34"/>
        <v>0.89738828664058656</v>
      </c>
      <c r="N150" s="86">
        <v>1918.5299999997519</v>
      </c>
      <c r="O150" s="87">
        <f t="shared" si="35"/>
        <v>2.7494584949942753E-4</v>
      </c>
    </row>
    <row r="151" spans="4:15" x14ac:dyDescent="0.2">
      <c r="D151" s="88">
        <v>560.1832885888889</v>
      </c>
      <c r="E151">
        <f t="shared" si="31"/>
        <v>0.93131649285588747</v>
      </c>
      <c r="F151">
        <f t="shared" si="32"/>
        <v>558.78989571353247</v>
      </c>
      <c r="G151">
        <v>9</v>
      </c>
      <c r="H151" s="46">
        <v>2.7858355513935501E-3</v>
      </c>
      <c r="I151" s="46">
        <v>7.8072147367325097E-5</v>
      </c>
      <c r="K151" s="46">
        <f t="shared" si="33"/>
        <v>2.707763404026225E-3</v>
      </c>
      <c r="L151" s="46">
        <f t="shared" si="30"/>
        <v>2.4168473444444727E-3</v>
      </c>
      <c r="M151" s="60">
        <f t="shared" si="34"/>
        <v>0.89256223082519559</v>
      </c>
      <c r="N151" s="86">
        <v>2416.8473444444726</v>
      </c>
      <c r="O151" s="87">
        <f t="shared" si="35"/>
        <v>3.0953728348817226E-4</v>
      </c>
    </row>
    <row r="152" spans="4:15" x14ac:dyDescent="0.2">
      <c r="D152" s="88">
        <v>601.49615397777779</v>
      </c>
      <c r="E152">
        <f t="shared" si="31"/>
        <v>1</v>
      </c>
      <c r="F152">
        <f t="shared" si="32"/>
        <v>600</v>
      </c>
      <c r="G152">
        <v>10</v>
      </c>
      <c r="H152" s="46">
        <v>3.4413682465808098E-3</v>
      </c>
      <c r="I152" s="46">
        <v>9.6410960354731401E-5</v>
      </c>
      <c r="K152" s="46">
        <f t="shared" si="33"/>
        <v>3.3449572862260784E-3</v>
      </c>
      <c r="L152" s="46">
        <f t="shared" si="30"/>
        <v>3.0448386333333795E-3</v>
      </c>
      <c r="M152" s="60">
        <f t="shared" si="34"/>
        <v>0.91027728391972818</v>
      </c>
      <c r="N152" s="86">
        <v>3044.8386333333797</v>
      </c>
      <c r="O152" s="87">
        <f t="shared" si="35"/>
        <v>3.4413682465808096E-4</v>
      </c>
    </row>
    <row r="154" spans="4:15" x14ac:dyDescent="0.2">
      <c r="O154" s="86"/>
    </row>
    <row r="155" spans="4:15" x14ac:dyDescent="0.2">
      <c r="J155">
        <v>10</v>
      </c>
      <c r="K155" s="46">
        <f>K152</f>
        <v>3.3449572862260784E-3</v>
      </c>
    </row>
    <row r="156" spans="4:15" x14ac:dyDescent="0.2">
      <c r="J156">
        <v>9</v>
      </c>
      <c r="K156" s="46">
        <f>K151</f>
        <v>2.707763404026225E-3</v>
      </c>
    </row>
    <row r="157" spans="4:15" x14ac:dyDescent="0.2">
      <c r="J157">
        <v>8</v>
      </c>
      <c r="K157" s="46">
        <f>K150</f>
        <v>2.1379039915729848E-3</v>
      </c>
    </row>
    <row r="158" spans="4:15" x14ac:dyDescent="0.2">
      <c r="J158">
        <v>7</v>
      </c>
      <c r="K158" s="46">
        <f>K149</f>
        <v>1.6354184769558021E-3</v>
      </c>
    </row>
    <row r="159" spans="4:15" x14ac:dyDescent="0.2">
      <c r="J159">
        <v>6</v>
      </c>
      <c r="K159" s="46">
        <f>K148</f>
        <v>1.2003262871406162E-3</v>
      </c>
    </row>
    <row r="160" spans="4:15" x14ac:dyDescent="0.2">
      <c r="J160">
        <v>5</v>
      </c>
      <c r="K160" s="46">
        <f>K147</f>
        <v>8.3250910866572415E-4</v>
      </c>
    </row>
    <row r="161" spans="10:11" x14ac:dyDescent="0.2">
      <c r="J161">
        <v>4</v>
      </c>
      <c r="K161" s="46">
        <f>K146</f>
        <v>5.3187186804409792E-4</v>
      </c>
    </row>
    <row r="162" spans="10:11" x14ac:dyDescent="0.2">
      <c r="J162">
        <v>3</v>
      </c>
      <c r="K162" s="46">
        <f>K145</f>
        <v>2.9834264856060068E-4</v>
      </c>
    </row>
    <row r="163" spans="10:11" x14ac:dyDescent="0.2">
      <c r="J163">
        <v>2</v>
      </c>
      <c r="K163" s="46">
        <f>K144</f>
        <v>1.3191132588383171E-4</v>
      </c>
    </row>
    <row r="164" spans="10:11" x14ac:dyDescent="0.2">
      <c r="J164">
        <v>1</v>
      </c>
      <c r="K164" s="46">
        <f>K143</f>
        <v>3.251896478209665E-5</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E1C4-80B0-4EC1-9F34-06324D71A02E}">
  <sheetPr>
    <pageSetUpPr fitToPage="1"/>
  </sheetPr>
  <dimension ref="A1:X25"/>
  <sheetViews>
    <sheetView tabSelected="1" topLeftCell="C40" workbookViewId="0">
      <selection activeCell="V33" sqref="V33"/>
    </sheetView>
  </sheetViews>
  <sheetFormatPr defaultRowHeight="12.75" x14ac:dyDescent="0.2"/>
  <cols>
    <col min="6" max="6" width="12.140625" customWidth="1"/>
    <col min="7" max="7" width="10" customWidth="1"/>
    <col min="8" max="12" width="10.140625" customWidth="1"/>
    <col min="16" max="17" width="10" customWidth="1"/>
    <col min="18" max="18" width="10.140625" customWidth="1"/>
    <col min="19" max="21" width="11.140625" customWidth="1"/>
    <col min="22" max="22" width="10.140625" bestFit="1" customWidth="1"/>
  </cols>
  <sheetData>
    <row r="1" spans="1:24" x14ac:dyDescent="0.2">
      <c r="A1" s="71" t="s">
        <v>131</v>
      </c>
    </row>
    <row r="2" spans="1:24" x14ac:dyDescent="0.2">
      <c r="J2" s="91" t="s">
        <v>271</v>
      </c>
      <c r="R2" s="60">
        <v>40585</v>
      </c>
    </row>
    <row r="3" spans="1:24" x14ac:dyDescent="0.2">
      <c r="W3" t="s">
        <v>132</v>
      </c>
      <c r="X3" t="s">
        <v>133</v>
      </c>
    </row>
    <row r="4" spans="1:24" x14ac:dyDescent="0.2">
      <c r="D4" t="s">
        <v>134</v>
      </c>
      <c r="E4" t="s">
        <v>135</v>
      </c>
      <c r="F4" t="s">
        <v>136</v>
      </c>
      <c r="G4" t="s">
        <v>137</v>
      </c>
      <c r="H4" t="s">
        <v>138</v>
      </c>
      <c r="I4" s="72" t="s">
        <v>139</v>
      </c>
      <c r="J4" t="s">
        <v>13</v>
      </c>
      <c r="V4" t="s">
        <v>272</v>
      </c>
    </row>
    <row r="5" spans="1:24" x14ac:dyDescent="0.2">
      <c r="C5" t="s">
        <v>140</v>
      </c>
      <c r="D5" s="14">
        <v>33850</v>
      </c>
      <c r="E5" s="14">
        <v>35523</v>
      </c>
      <c r="F5" s="14">
        <v>37148</v>
      </c>
      <c r="G5" s="14">
        <v>38883</v>
      </c>
      <c r="H5" s="14">
        <v>40585</v>
      </c>
      <c r="I5" s="14">
        <v>42236</v>
      </c>
      <c r="J5" s="14">
        <v>43803</v>
      </c>
      <c r="K5" s="14">
        <v>45646</v>
      </c>
      <c r="L5" s="14"/>
      <c r="N5" s="14">
        <v>33850</v>
      </c>
      <c r="O5" s="14">
        <v>35523</v>
      </c>
      <c r="P5" s="14">
        <v>37148</v>
      </c>
      <c r="Q5" s="14">
        <v>38883</v>
      </c>
      <c r="R5" s="14">
        <f>H5</f>
        <v>40585</v>
      </c>
      <c r="S5" s="14">
        <f>I5</f>
        <v>42236</v>
      </c>
      <c r="T5" s="14">
        <f>J5</f>
        <v>43803</v>
      </c>
      <c r="U5" s="14">
        <f>K5</f>
        <v>45646</v>
      </c>
      <c r="V5" s="14">
        <v>45991</v>
      </c>
    </row>
    <row r="6" spans="1:24" x14ac:dyDescent="0.2">
      <c r="C6" s="74">
        <v>100</v>
      </c>
      <c r="D6" s="75">
        <v>101.1</v>
      </c>
      <c r="E6" s="76">
        <v>101.0931275419648</v>
      </c>
      <c r="F6" s="77">
        <v>101.07754125467993</v>
      </c>
      <c r="G6" s="77">
        <v>101.07675186480091</v>
      </c>
      <c r="H6" s="78" t="s">
        <v>141</v>
      </c>
      <c r="I6" s="78" t="s">
        <v>142</v>
      </c>
      <c r="J6" s="78">
        <f>pyReport!L4</f>
        <v>101.12314815915271</v>
      </c>
      <c r="K6" s="78">
        <f>pyReport!D4</f>
        <v>101.1257529240236</v>
      </c>
      <c r="N6" s="74">
        <f t="shared" ref="N6:U6" si="0">D6/$D6</f>
        <v>1</v>
      </c>
      <c r="O6" s="74">
        <f t="shared" si="0"/>
        <v>0.99993202316483487</v>
      </c>
      <c r="P6" s="74">
        <f t="shared" si="0"/>
        <v>0.9997778561293762</v>
      </c>
      <c r="Q6" s="74">
        <f t="shared" si="0"/>
        <v>0.9997700481187034</v>
      </c>
      <c r="R6" s="74">
        <f t="shared" si="0"/>
        <v>0.9999347181008903</v>
      </c>
      <c r="S6" s="74">
        <f t="shared" si="0"/>
        <v>1.0001424332344215</v>
      </c>
      <c r="T6" s="74">
        <f t="shared" si="0"/>
        <v>1.0002289629985432</v>
      </c>
      <c r="U6" s="74">
        <f t="shared" si="0"/>
        <v>1.0002547272405895</v>
      </c>
      <c r="W6">
        <f t="shared" ref="W6:W25" si="1">X6/D6</f>
        <v>6.9238377843719098E-5</v>
      </c>
      <c r="X6" t="s">
        <v>143</v>
      </c>
    </row>
    <row r="7" spans="1:24" x14ac:dyDescent="0.2">
      <c r="C7" s="74">
        <v>90</v>
      </c>
      <c r="D7" s="75">
        <v>89</v>
      </c>
      <c r="E7" s="76">
        <v>88.973670129484802</v>
      </c>
      <c r="F7" s="77">
        <v>88.966871335289156</v>
      </c>
      <c r="G7" s="77">
        <v>88.961560061438718</v>
      </c>
      <c r="H7" s="78" t="s">
        <v>144</v>
      </c>
      <c r="I7" s="78" t="s">
        <v>145</v>
      </c>
      <c r="J7" s="78">
        <f>pyReport!L5</f>
        <v>89.005149839409128</v>
      </c>
      <c r="K7" s="78">
        <f>pyReport!D5</f>
        <v>89.007041966897333</v>
      </c>
      <c r="N7" s="74">
        <f t="shared" ref="N7:N25" si="2">D7/$D7</f>
        <v>1</v>
      </c>
      <c r="O7" s="74">
        <f t="shared" ref="O7:O25" si="3">E7/$D7</f>
        <v>0.99970415875825624</v>
      </c>
      <c r="P7" s="74">
        <f t="shared" ref="P7:P25" si="4">F7/$D7</f>
        <v>0.99962776781223772</v>
      </c>
      <c r="Q7" s="74">
        <f t="shared" ref="Q7:Q25" si="5">G7/$D7</f>
        <v>0.99956809057796314</v>
      </c>
      <c r="R7" s="74">
        <f t="shared" ref="R7:R25" si="6">H7/$D7</f>
        <v>0.99984269662921355</v>
      </c>
      <c r="S7" s="74">
        <f t="shared" ref="S7:S25" si="7">I7/$D7</f>
        <v>1.0000707865168539</v>
      </c>
      <c r="T7" s="74">
        <f t="shared" ref="T7:T25" si="8">J7/$D7</f>
        <v>1.0000578633641475</v>
      </c>
      <c r="U7" s="74">
        <f t="shared" ref="U7:U25" si="9">K7/$D7</f>
        <v>1.0000791232235655</v>
      </c>
      <c r="W7">
        <f t="shared" si="1"/>
        <v>7.303370786516853E-5</v>
      </c>
      <c r="X7" t="s">
        <v>146</v>
      </c>
    </row>
    <row r="8" spans="1:24" x14ac:dyDescent="0.2">
      <c r="C8" s="74">
        <v>80</v>
      </c>
      <c r="D8" s="75">
        <v>78.900000000000006</v>
      </c>
      <c r="E8" s="76">
        <v>78.868638066662413</v>
      </c>
      <c r="F8" s="77">
        <v>78.864328057416699</v>
      </c>
      <c r="G8" s="77">
        <v>78.85831563997246</v>
      </c>
      <c r="H8" s="78" t="s">
        <v>147</v>
      </c>
      <c r="I8" s="78" t="s">
        <v>148</v>
      </c>
      <c r="J8" s="78">
        <f>pyReport!L6</f>
        <v>78.895865648305787</v>
      </c>
      <c r="K8" s="78">
        <f>pyReport!D6</f>
        <v>78.897647333517085</v>
      </c>
      <c r="N8" s="74">
        <f t="shared" si="2"/>
        <v>1</v>
      </c>
      <c r="O8" s="74">
        <f t="shared" si="3"/>
        <v>0.99960251035060088</v>
      </c>
      <c r="P8" s="74">
        <f t="shared" si="4"/>
        <v>0.99954788412441942</v>
      </c>
      <c r="Q8" s="74">
        <f t="shared" si="5"/>
        <v>0.99947168111498674</v>
      </c>
      <c r="R8" s="74">
        <f t="shared" si="6"/>
        <v>0.99977946768060821</v>
      </c>
      <c r="S8" s="74">
        <f t="shared" si="7"/>
        <v>1.0000114068441064</v>
      </c>
      <c r="T8" s="74">
        <f t="shared" si="8"/>
        <v>0.99994760010526973</v>
      </c>
      <c r="U8" s="74">
        <f t="shared" si="9"/>
        <v>0.99997018166688312</v>
      </c>
      <c r="W8">
        <f t="shared" si="1"/>
        <v>7.4778200253485419E-5</v>
      </c>
      <c r="X8" t="s">
        <v>149</v>
      </c>
    </row>
    <row r="9" spans="1:24" x14ac:dyDescent="0.2">
      <c r="C9" s="74">
        <v>70</v>
      </c>
      <c r="D9" s="75">
        <v>68.900000000000006</v>
      </c>
      <c r="E9" s="76">
        <v>68.933033368038394</v>
      </c>
      <c r="F9" s="77">
        <v>68.929312029496586</v>
      </c>
      <c r="G9" s="77">
        <v>68.924600489350965</v>
      </c>
      <c r="H9" s="78" t="s">
        <v>150</v>
      </c>
      <c r="I9" s="78" t="s">
        <v>151</v>
      </c>
      <c r="J9" s="78">
        <f>pyReport!L7</f>
        <v>68.955716327068998</v>
      </c>
      <c r="K9" s="78">
        <f>pyReport!D7</f>
        <v>68.957087682190874</v>
      </c>
      <c r="N9" s="74">
        <f t="shared" si="2"/>
        <v>1</v>
      </c>
      <c r="O9" s="74">
        <f t="shared" si="3"/>
        <v>1.0004794393038954</v>
      </c>
      <c r="P9" s="74">
        <f t="shared" si="4"/>
        <v>1.0004254285848559</v>
      </c>
      <c r="Q9" s="74">
        <f t="shared" si="5"/>
        <v>1.0003570462895639</v>
      </c>
      <c r="R9" s="74">
        <f t="shared" si="6"/>
        <v>1.0006748911465893</v>
      </c>
      <c r="S9" s="74">
        <f t="shared" si="7"/>
        <v>1.0009158200290273</v>
      </c>
      <c r="T9" s="74">
        <f t="shared" si="8"/>
        <v>1.0008086549647168</v>
      </c>
      <c r="U9" s="74">
        <f t="shared" si="9"/>
        <v>1.0008285585223637</v>
      </c>
      <c r="W9">
        <f t="shared" si="1"/>
        <v>7.5471698113207538E-5</v>
      </c>
      <c r="X9" t="s">
        <v>152</v>
      </c>
    </row>
    <row r="10" spans="1:24" x14ac:dyDescent="0.2">
      <c r="C10" s="74">
        <v>60</v>
      </c>
      <c r="D10" s="75">
        <v>59.1</v>
      </c>
      <c r="E10" s="76">
        <v>59.088843433804804</v>
      </c>
      <c r="F10" s="77">
        <v>59.086110936177214</v>
      </c>
      <c r="G10" s="77">
        <v>59.082001070729227</v>
      </c>
      <c r="H10" s="78" t="s">
        <v>153</v>
      </c>
      <c r="I10" s="78" t="s">
        <v>154</v>
      </c>
      <c r="J10" s="78">
        <f>pyReport!L8</f>
        <v>59.106985853294141</v>
      </c>
      <c r="K10" s="78">
        <f>pyReport!D8</f>
        <v>59.108847159084952</v>
      </c>
      <c r="N10" s="74">
        <f t="shared" si="2"/>
        <v>1</v>
      </c>
      <c r="O10" s="74">
        <f t="shared" si="3"/>
        <v>0.99981122561429447</v>
      </c>
      <c r="P10" s="74">
        <f t="shared" si="4"/>
        <v>0.99976499045985134</v>
      </c>
      <c r="Q10" s="74">
        <f t="shared" si="5"/>
        <v>0.99969544958932699</v>
      </c>
      <c r="R10" s="74">
        <f t="shared" si="6"/>
        <v>1.0000287648054145</v>
      </c>
      <c r="S10" s="74">
        <f t="shared" si="7"/>
        <v>1.0002758037225044</v>
      </c>
      <c r="T10" s="74">
        <f t="shared" si="8"/>
        <v>1.0001182039474474</v>
      </c>
      <c r="U10" s="74">
        <f t="shared" si="9"/>
        <v>1.0001496981232649</v>
      </c>
      <c r="W10">
        <f t="shared" si="1"/>
        <v>7.6142131979695419E-5</v>
      </c>
      <c r="X10" t="s">
        <v>155</v>
      </c>
    </row>
    <row r="11" spans="1:24" x14ac:dyDescent="0.2">
      <c r="C11" s="74">
        <v>50</v>
      </c>
      <c r="D11" s="75">
        <v>49.05</v>
      </c>
      <c r="E11" s="76">
        <v>49.046321466982405</v>
      </c>
      <c r="F11" s="77">
        <v>49.044477565899363</v>
      </c>
      <c r="G11" s="77">
        <v>49.040467304195836</v>
      </c>
      <c r="H11" s="78" t="s">
        <v>156</v>
      </c>
      <c r="I11" s="78" t="s">
        <v>157</v>
      </c>
      <c r="J11" s="78">
        <f>pyReport!L9</f>
        <v>49.060414591467158</v>
      </c>
      <c r="K11" s="78">
        <f>pyReport!D9</f>
        <v>49.061365353839435</v>
      </c>
      <c r="N11" s="74">
        <f t="shared" si="2"/>
        <v>1</v>
      </c>
      <c r="O11" s="74">
        <f t="shared" si="3"/>
        <v>0.99992500442369847</v>
      </c>
      <c r="P11" s="74">
        <f t="shared" si="4"/>
        <v>0.99988741214881482</v>
      </c>
      <c r="Q11" s="74">
        <f t="shared" si="5"/>
        <v>0.99980565350042483</v>
      </c>
      <c r="R11" s="74">
        <f t="shared" si="6"/>
        <v>1.0001610601427116</v>
      </c>
      <c r="S11" s="74">
        <f t="shared" si="7"/>
        <v>1.0004118246687055</v>
      </c>
      <c r="T11" s="74">
        <f t="shared" si="8"/>
        <v>1.0002123260237954</v>
      </c>
      <c r="U11" s="74">
        <f t="shared" si="9"/>
        <v>1.0002317095583984</v>
      </c>
      <c r="W11">
        <f t="shared" si="1"/>
        <v>7.747196738022427E-5</v>
      </c>
      <c r="X11" t="s">
        <v>158</v>
      </c>
    </row>
    <row r="12" spans="1:24" x14ac:dyDescent="0.2">
      <c r="C12" s="74">
        <v>40</v>
      </c>
      <c r="D12" s="75">
        <v>39.35</v>
      </c>
      <c r="E12" s="76">
        <v>39.344754567782402</v>
      </c>
      <c r="F12" s="77">
        <v>39.343399590300763</v>
      </c>
      <c r="G12" s="77">
        <v>39.340192459268565</v>
      </c>
      <c r="H12" s="78" t="s">
        <v>159</v>
      </c>
      <c r="I12" s="78" t="s">
        <v>160</v>
      </c>
      <c r="J12" s="78">
        <f>pyReport!L10</f>
        <v>39.355013667378159</v>
      </c>
      <c r="K12" s="78">
        <f>pyReport!D10</f>
        <v>39.354254072249034</v>
      </c>
      <c r="N12" s="74">
        <f t="shared" si="2"/>
        <v>1</v>
      </c>
      <c r="O12" s="74">
        <f t="shared" si="3"/>
        <v>0.99986669803767225</v>
      </c>
      <c r="P12" s="74">
        <f t="shared" si="4"/>
        <v>0.99983226404830394</v>
      </c>
      <c r="Q12" s="74">
        <f t="shared" si="5"/>
        <v>0.99975076135371188</v>
      </c>
      <c r="R12" s="74">
        <f t="shared" si="6"/>
        <v>1.0001168996188055</v>
      </c>
      <c r="S12" s="74">
        <f t="shared" si="7"/>
        <v>1.0003811944091487</v>
      </c>
      <c r="T12" s="74">
        <f t="shared" si="8"/>
        <v>1.0001274121315924</v>
      </c>
      <c r="U12" s="74">
        <f t="shared" si="9"/>
        <v>1.0001081085704964</v>
      </c>
      <c r="W12">
        <f t="shared" si="1"/>
        <v>7.8780177890724261E-5</v>
      </c>
      <c r="X12" t="s">
        <v>161</v>
      </c>
    </row>
    <row r="13" spans="1:24" x14ac:dyDescent="0.2">
      <c r="C13" s="74">
        <v>30</v>
      </c>
      <c r="D13" s="75">
        <v>29.26</v>
      </c>
      <c r="E13" s="76">
        <v>29.263526349516802</v>
      </c>
      <c r="F13" s="77">
        <v>29.262459826452009</v>
      </c>
      <c r="G13" s="77">
        <v>29.260152044195213</v>
      </c>
      <c r="H13" s="78" t="s">
        <v>162</v>
      </c>
      <c r="I13" s="78" t="s">
        <v>163</v>
      </c>
      <c r="J13" s="78">
        <f>pyReport!L11</f>
        <v>29.270434569626111</v>
      </c>
      <c r="K13" s="78">
        <f>pyReport!D11</f>
        <v>29.271264909995708</v>
      </c>
      <c r="N13" s="74">
        <f t="shared" si="2"/>
        <v>1</v>
      </c>
      <c r="O13" s="74">
        <f t="shared" si="3"/>
        <v>1.000120517755188</v>
      </c>
      <c r="P13" s="74">
        <f t="shared" si="4"/>
        <v>1.000084067889679</v>
      </c>
      <c r="Q13" s="74">
        <f t="shared" si="5"/>
        <v>1.0000051963156258</v>
      </c>
      <c r="R13" s="74">
        <f t="shared" si="6"/>
        <v>1.0003930280246069</v>
      </c>
      <c r="S13" s="74">
        <f t="shared" si="7"/>
        <v>1.0006630211893368</v>
      </c>
      <c r="T13" s="74">
        <f t="shared" si="8"/>
        <v>1.0003566155032846</v>
      </c>
      <c r="U13" s="74">
        <f t="shared" si="9"/>
        <v>1.0003849935063467</v>
      </c>
      <c r="W13">
        <f t="shared" si="1"/>
        <v>7.8605604921394386E-5</v>
      </c>
      <c r="X13" t="s">
        <v>164</v>
      </c>
    </row>
    <row r="14" spans="1:24" x14ac:dyDescent="0.2">
      <c r="C14" s="74">
        <v>20</v>
      </c>
      <c r="D14" s="75">
        <v>19.989999999999998</v>
      </c>
      <c r="E14" s="76">
        <v>19.9873281515776</v>
      </c>
      <c r="F14" s="77">
        <v>19.986651025060791</v>
      </c>
      <c r="G14" s="77">
        <v>19.984950592241578</v>
      </c>
      <c r="H14" s="78" t="s">
        <v>165</v>
      </c>
      <c r="I14" s="78" t="s">
        <v>166</v>
      </c>
      <c r="J14" s="78">
        <f>pyReport!L12</f>
        <v>19.991621593485661</v>
      </c>
      <c r="K14" s="78">
        <f>pyReport!D12</f>
        <v>19.992542389150191</v>
      </c>
      <c r="N14" s="74">
        <f t="shared" si="2"/>
        <v>1</v>
      </c>
      <c r="O14" s="74">
        <f t="shared" si="3"/>
        <v>0.99986634074925473</v>
      </c>
      <c r="P14" s="74">
        <f t="shared" si="4"/>
        <v>0.99983246748678301</v>
      </c>
      <c r="Q14" s="74">
        <f t="shared" si="5"/>
        <v>0.99974740331373579</v>
      </c>
      <c r="R14" s="74">
        <f t="shared" si="6"/>
        <v>1.0001550775387693</v>
      </c>
      <c r="S14" s="74">
        <f t="shared" si="7"/>
        <v>1.0004402201100551</v>
      </c>
      <c r="T14" s="74">
        <f t="shared" si="8"/>
        <v>1.0000811202344004</v>
      </c>
      <c r="U14" s="74">
        <f t="shared" si="9"/>
        <v>1.0001271830490341</v>
      </c>
      <c r="W14">
        <f t="shared" si="1"/>
        <v>8.0040020010005018E-5</v>
      </c>
      <c r="X14" t="s">
        <v>167</v>
      </c>
    </row>
    <row r="15" spans="1:24" x14ac:dyDescent="0.2">
      <c r="C15" s="74">
        <v>10</v>
      </c>
      <c r="D15" s="75">
        <v>10.15</v>
      </c>
      <c r="E15" s="76">
        <v>10.148939154252801</v>
      </c>
      <c r="F15" s="77">
        <v>10.148550761441461</v>
      </c>
      <c r="G15" s="77">
        <v>10.147652088873398</v>
      </c>
      <c r="H15" s="78" t="s">
        <v>168</v>
      </c>
      <c r="I15" s="78" t="s">
        <v>169</v>
      </c>
      <c r="J15" s="78">
        <f>pyReport!L13</f>
        <v>10.15079274875837</v>
      </c>
      <c r="K15" s="78">
        <f>pyReport!D13</f>
        <v>10.151103275273931</v>
      </c>
      <c r="N15" s="74">
        <f t="shared" si="2"/>
        <v>1</v>
      </c>
      <c r="O15" s="74">
        <f t="shared" si="3"/>
        <v>0.99989548317761578</v>
      </c>
      <c r="P15" s="74">
        <f t="shared" si="4"/>
        <v>0.99985721787600601</v>
      </c>
      <c r="Q15" s="74">
        <f t="shared" si="5"/>
        <v>0.99976867870673869</v>
      </c>
      <c r="R15" s="74">
        <f t="shared" si="6"/>
        <v>1.0001970443349752</v>
      </c>
      <c r="S15" s="74">
        <f t="shared" si="7"/>
        <v>1.0004926108374383</v>
      </c>
      <c r="T15" s="74">
        <f t="shared" si="8"/>
        <v>1.0000781033259478</v>
      </c>
      <c r="U15" s="74">
        <f t="shared" si="9"/>
        <v>1.0001086970713231</v>
      </c>
      <c r="W15">
        <f t="shared" si="1"/>
        <v>8.8669950738916252E-5</v>
      </c>
      <c r="X15" t="s">
        <v>170</v>
      </c>
    </row>
    <row r="16" spans="1:24" x14ac:dyDescent="0.2">
      <c r="C16" s="79">
        <v>1000</v>
      </c>
      <c r="D16" s="80">
        <v>985</v>
      </c>
      <c r="E16" s="81">
        <v>986.06225882700812</v>
      </c>
      <c r="F16" s="82">
        <v>985.21125428541461</v>
      </c>
      <c r="G16" s="82">
        <v>985.10008692122699</v>
      </c>
      <c r="H16" s="83" t="s">
        <v>171</v>
      </c>
      <c r="I16" s="83" t="s">
        <v>172</v>
      </c>
      <c r="J16" s="90">
        <f>pyReport!L16-L16*1000</f>
        <v>984.96679903627194</v>
      </c>
      <c r="K16" s="90">
        <f>pyReport!D16-L16*1000</f>
        <v>985.02983072514792</v>
      </c>
      <c r="L16" s="73">
        <v>3.3449572862260784E-3</v>
      </c>
      <c r="M16">
        <v>985.144118627284</v>
      </c>
      <c r="N16" s="79">
        <f t="shared" si="2"/>
        <v>1</v>
      </c>
      <c r="O16" s="79">
        <f t="shared" si="3"/>
        <v>1.0010784353573687</v>
      </c>
      <c r="P16" s="79">
        <f t="shared" si="4"/>
        <v>1.0002144713557508</v>
      </c>
      <c r="Q16" s="79">
        <f t="shared" si="5"/>
        <v>1.00010161108754</v>
      </c>
      <c r="R16" s="79">
        <f t="shared" si="6"/>
        <v>0.99993807106598986</v>
      </c>
      <c r="S16" s="79">
        <f t="shared" si="7"/>
        <v>1.0002477157360405</v>
      </c>
      <c r="T16" s="79">
        <f t="shared" si="8"/>
        <v>0.99996629343783949</v>
      </c>
      <c r="U16" s="79">
        <f t="shared" si="9"/>
        <v>1.0000302850001501</v>
      </c>
      <c r="V16" s="79">
        <f>M16/D16</f>
        <v>1.0001463133271919</v>
      </c>
      <c r="W16">
        <f t="shared" si="1"/>
        <v>7.0050761421319802E-5</v>
      </c>
      <c r="X16" t="s">
        <v>173</v>
      </c>
    </row>
    <row r="17" spans="3:24" x14ac:dyDescent="0.2">
      <c r="C17" s="79">
        <v>900</v>
      </c>
      <c r="D17" s="80">
        <v>879</v>
      </c>
      <c r="E17" s="81">
        <v>879.05997689804803</v>
      </c>
      <c r="F17" s="82">
        <v>878.39587971579977</v>
      </c>
      <c r="G17" s="82">
        <v>878.28764473481226</v>
      </c>
      <c r="H17" s="83" t="s">
        <v>174</v>
      </c>
      <c r="I17" s="83" t="s">
        <v>175</v>
      </c>
      <c r="J17" s="90">
        <f>pyReport!L17-L17*1000</f>
        <v>878.17284426382776</v>
      </c>
      <c r="K17" s="90">
        <f>pyReport!D17-L17*1000</f>
        <v>878.22476292344538</v>
      </c>
      <c r="L17" s="73">
        <v>2.707763404026225E-3</v>
      </c>
      <c r="M17">
        <v>878.35199164915798</v>
      </c>
      <c r="N17" s="79">
        <f t="shared" si="2"/>
        <v>1</v>
      </c>
      <c r="O17" s="79">
        <f t="shared" si="3"/>
        <v>1.0000682331035813</v>
      </c>
      <c r="P17" s="79">
        <f t="shared" si="4"/>
        <v>0.99931271867554017</v>
      </c>
      <c r="Q17" s="79">
        <f t="shared" si="5"/>
        <v>0.99918958445371131</v>
      </c>
      <c r="R17" s="79">
        <f t="shared" si="6"/>
        <v>0.99912627986348124</v>
      </c>
      <c r="S17" s="79">
        <f t="shared" si="7"/>
        <v>0.99929465301478948</v>
      </c>
      <c r="T17" s="79">
        <f t="shared" si="8"/>
        <v>0.99905898095998602</v>
      </c>
      <c r="U17" s="79">
        <f t="shared" si="9"/>
        <v>0.99911804655682068</v>
      </c>
      <c r="V17" s="79">
        <f t="shared" ref="V17:V25" si="10">M17/D17</f>
        <v>0.99926278913442323</v>
      </c>
      <c r="W17">
        <f t="shared" si="1"/>
        <v>6.8259385665529011E-5</v>
      </c>
      <c r="X17" t="s">
        <v>176</v>
      </c>
    </row>
    <row r="18" spans="3:24" x14ac:dyDescent="0.2">
      <c r="C18" s="79">
        <v>800</v>
      </c>
      <c r="D18" s="80">
        <v>783</v>
      </c>
      <c r="E18" s="81">
        <v>783.71157718656002</v>
      </c>
      <c r="F18" s="82">
        <v>783.19339409661279</v>
      </c>
      <c r="G18" s="82">
        <v>783.09620902595191</v>
      </c>
      <c r="H18" s="83" t="s">
        <v>177</v>
      </c>
      <c r="I18" s="83" t="s">
        <v>178</v>
      </c>
      <c r="J18" s="90">
        <f>pyReport!L18-L18*1000</f>
        <v>783.03497199210551</v>
      </c>
      <c r="K18" s="90">
        <f>pyReport!D18-L18*1000</f>
        <v>783.08479157316708</v>
      </c>
      <c r="L18" s="73">
        <v>2.1379039915729848E-3</v>
      </c>
      <c r="M18">
        <v>783.15326678589099</v>
      </c>
      <c r="N18" s="79">
        <f t="shared" si="2"/>
        <v>1</v>
      </c>
      <c r="O18" s="79">
        <f t="shared" si="3"/>
        <v>1.0009087831245977</v>
      </c>
      <c r="P18" s="79">
        <f t="shared" si="4"/>
        <v>1.0002469911834135</v>
      </c>
      <c r="Q18" s="79">
        <f t="shared" si="5"/>
        <v>1.0001228723192235</v>
      </c>
      <c r="R18" s="79">
        <f t="shared" si="6"/>
        <v>1.000109833971903</v>
      </c>
      <c r="S18" s="79">
        <f t="shared" si="7"/>
        <v>1.0002911877394636</v>
      </c>
      <c r="T18" s="79">
        <f t="shared" si="8"/>
        <v>1.000044664102306</v>
      </c>
      <c r="U18" s="79">
        <f t="shared" si="9"/>
        <v>1.0001082906426144</v>
      </c>
      <c r="V18" s="79">
        <f t="shared" si="10"/>
        <v>1.0001957430215722</v>
      </c>
      <c r="W18">
        <f t="shared" si="1"/>
        <v>6.7688378033205616E-5</v>
      </c>
      <c r="X18" t="s">
        <v>179</v>
      </c>
    </row>
    <row r="19" spans="3:24" x14ac:dyDescent="0.2">
      <c r="C19" s="79">
        <v>700</v>
      </c>
      <c r="D19" s="80">
        <v>690</v>
      </c>
      <c r="E19" s="81">
        <v>690.2874882703361</v>
      </c>
      <c r="F19" s="82">
        <v>689.87521497838236</v>
      </c>
      <c r="G19" s="82">
        <v>689.80510142685603</v>
      </c>
      <c r="H19" s="83" t="s">
        <v>180</v>
      </c>
      <c r="I19" s="83" t="s">
        <v>181</v>
      </c>
      <c r="J19" s="90">
        <f>pyReport!L19-L19*1000</f>
        <v>689.7901299913143</v>
      </c>
      <c r="K19" s="90">
        <f>pyReport!D19-L19*1000</f>
        <v>689.83785251477968</v>
      </c>
      <c r="L19" s="73">
        <v>1.6354184769558021E-3</v>
      </c>
      <c r="M19">
        <v>689.84993464177307</v>
      </c>
      <c r="N19" s="79">
        <f t="shared" si="2"/>
        <v>1</v>
      </c>
      <c r="O19" s="79">
        <f t="shared" si="3"/>
        <v>1.0004166496671538</v>
      </c>
      <c r="P19" s="79">
        <f t="shared" si="4"/>
        <v>0.9998191521425831</v>
      </c>
      <c r="Q19" s="79">
        <f t="shared" si="5"/>
        <v>0.99971753829979138</v>
      </c>
      <c r="R19" s="79">
        <f t="shared" si="6"/>
        <v>0.99972898550724631</v>
      </c>
      <c r="S19" s="79">
        <f t="shared" si="7"/>
        <v>0.99989710144927535</v>
      </c>
      <c r="T19" s="79">
        <f t="shared" si="8"/>
        <v>0.99969584056712213</v>
      </c>
      <c r="U19" s="79">
        <f t="shared" si="9"/>
        <v>0.99976500364460819</v>
      </c>
      <c r="V19" s="79">
        <f t="shared" si="10"/>
        <v>0.9997825139735842</v>
      </c>
      <c r="W19">
        <f t="shared" si="1"/>
        <v>6.8115942028985506E-5</v>
      </c>
      <c r="X19" t="s">
        <v>182</v>
      </c>
    </row>
    <row r="20" spans="3:24" x14ac:dyDescent="0.2">
      <c r="C20" s="79">
        <v>600</v>
      </c>
      <c r="D20" s="80">
        <v>592</v>
      </c>
      <c r="E20" s="81">
        <v>592.71672962585603</v>
      </c>
      <c r="F20" s="82">
        <v>592.40736087476512</v>
      </c>
      <c r="G20" s="82">
        <v>592.35827630351218</v>
      </c>
      <c r="H20" s="83" t="s">
        <v>183</v>
      </c>
      <c r="I20" s="83" t="s">
        <v>184</v>
      </c>
      <c r="J20" s="90">
        <f>pyReport!L20-L20*1000</f>
        <v>592.36604694235325</v>
      </c>
      <c r="K20" s="90">
        <f>pyReport!D20-L20*1000</f>
        <v>592.39866547524673</v>
      </c>
      <c r="L20" s="73">
        <v>1.2003262871406162E-3</v>
      </c>
      <c r="M20">
        <v>592.38173955172499</v>
      </c>
      <c r="N20" s="79">
        <f t="shared" si="2"/>
        <v>1</v>
      </c>
      <c r="O20" s="79">
        <f t="shared" si="3"/>
        <v>1.0012106919355677</v>
      </c>
      <c r="P20" s="79">
        <f t="shared" si="4"/>
        <v>1.0006881095857518</v>
      </c>
      <c r="Q20" s="79">
        <f t="shared" si="5"/>
        <v>1.0006051964586355</v>
      </c>
      <c r="R20" s="79">
        <f t="shared" si="6"/>
        <v>1.0006081081081082</v>
      </c>
      <c r="S20" s="79">
        <f t="shared" si="7"/>
        <v>1.0007956081081082</v>
      </c>
      <c r="T20" s="79">
        <f t="shared" si="8"/>
        <v>1.000618322537759</v>
      </c>
      <c r="U20" s="79">
        <f t="shared" si="9"/>
        <v>1.0006734214108897</v>
      </c>
      <c r="V20" s="79">
        <f t="shared" si="10"/>
        <v>1.0006448303238598</v>
      </c>
      <c r="W20">
        <f t="shared" si="1"/>
        <v>6.7567567567567569E-5</v>
      </c>
      <c r="X20" t="s">
        <v>185</v>
      </c>
    </row>
    <row r="21" spans="3:24" x14ac:dyDescent="0.2">
      <c r="C21" s="79">
        <v>500</v>
      </c>
      <c r="D21" s="80">
        <v>494.8</v>
      </c>
      <c r="E21" s="81">
        <v>494.97294303564803</v>
      </c>
      <c r="F21" s="82">
        <v>494.7434748846365</v>
      </c>
      <c r="G21" s="82">
        <v>494.70641577885152</v>
      </c>
      <c r="H21" s="83" t="s">
        <v>186</v>
      </c>
      <c r="I21" s="83" t="s">
        <v>187</v>
      </c>
      <c r="J21" s="90">
        <f>pyReport!L21-L21*1000</f>
        <v>494.71965691972571</v>
      </c>
      <c r="K21" s="90">
        <f>pyReport!D21-L21*1000</f>
        <v>494.74517296014375</v>
      </c>
      <c r="L21" s="73">
        <v>8.3250910866572415E-4</v>
      </c>
      <c r="M21">
        <v>494.71150259926702</v>
      </c>
      <c r="N21" s="79">
        <f t="shared" si="2"/>
        <v>1</v>
      </c>
      <c r="O21" s="79">
        <f t="shared" si="3"/>
        <v>1.0003495210906386</v>
      </c>
      <c r="P21" s="79">
        <f t="shared" si="4"/>
        <v>0.99988576169085785</v>
      </c>
      <c r="Q21" s="79">
        <f t="shared" si="5"/>
        <v>0.9998108645490128</v>
      </c>
      <c r="R21" s="79">
        <f t="shared" si="6"/>
        <v>0.99981810832659657</v>
      </c>
      <c r="S21" s="79">
        <f t="shared" si="7"/>
        <v>1.0000060630557801</v>
      </c>
      <c r="T21" s="79">
        <f t="shared" si="8"/>
        <v>0.9998376251409169</v>
      </c>
      <c r="U21" s="79">
        <f t="shared" si="9"/>
        <v>0.99988919353303096</v>
      </c>
      <c r="V21" s="79">
        <f t="shared" si="10"/>
        <v>0.99982114510765363</v>
      </c>
      <c r="W21">
        <f t="shared" si="1"/>
        <v>6.8714632174616007E-5</v>
      </c>
      <c r="X21" t="s">
        <v>188</v>
      </c>
    </row>
    <row r="22" spans="3:24" x14ac:dyDescent="0.2">
      <c r="C22" s="79">
        <v>400</v>
      </c>
      <c r="D22" s="80">
        <v>399</v>
      </c>
      <c r="E22" s="81">
        <v>399.11346077926402</v>
      </c>
      <c r="F22" s="82">
        <v>398.958894582033</v>
      </c>
      <c r="G22" s="82">
        <v>398.92987904672162</v>
      </c>
      <c r="H22" s="83" t="s">
        <v>189</v>
      </c>
      <c r="I22" s="83" t="s">
        <v>190</v>
      </c>
      <c r="J22" s="90">
        <f>pyReport!L22-L22*1000</f>
        <v>398.95848947834338</v>
      </c>
      <c r="K22" s="90">
        <f>pyReport!D22-L22*1000</f>
        <v>398.97390441727828</v>
      </c>
      <c r="L22" s="73">
        <v>5.3187186804409792E-4</v>
      </c>
      <c r="M22">
        <v>398.93065712252002</v>
      </c>
      <c r="N22" s="79">
        <f t="shared" si="2"/>
        <v>1</v>
      </c>
      <c r="O22" s="79">
        <f t="shared" si="3"/>
        <v>1.0002843628552982</v>
      </c>
      <c r="P22" s="79">
        <f t="shared" si="4"/>
        <v>0.99989697890233831</v>
      </c>
      <c r="Q22" s="79">
        <f t="shared" si="5"/>
        <v>0.99982425826246024</v>
      </c>
      <c r="R22" s="79">
        <f t="shared" si="6"/>
        <v>0.99982706766917284</v>
      </c>
      <c r="S22" s="79">
        <f t="shared" si="7"/>
        <v>1.0000200501253131</v>
      </c>
      <c r="T22" s="79">
        <f t="shared" si="8"/>
        <v>0.99989596360487065</v>
      </c>
      <c r="U22" s="79">
        <f t="shared" si="9"/>
        <v>0.99993459753703828</v>
      </c>
      <c r="V22" s="79">
        <f t="shared" si="10"/>
        <v>0.99982620832711788</v>
      </c>
      <c r="W22">
        <f t="shared" si="1"/>
        <v>6.7669172932330828E-5</v>
      </c>
      <c r="X22" t="s">
        <v>191</v>
      </c>
    </row>
    <row r="23" spans="3:24" x14ac:dyDescent="0.2">
      <c r="C23" s="79">
        <v>300</v>
      </c>
      <c r="D23" s="80">
        <v>304.39999999999998</v>
      </c>
      <c r="E23" s="81">
        <v>304.42916832768003</v>
      </c>
      <c r="F23" s="82">
        <v>304.32550153134082</v>
      </c>
      <c r="G23" s="82">
        <v>304.30754159810135</v>
      </c>
      <c r="H23" s="83" t="s">
        <v>192</v>
      </c>
      <c r="I23" s="83" t="s">
        <v>193</v>
      </c>
      <c r="J23" s="90">
        <f>pyReport!L23-L23*1000</f>
        <v>304.33846311575729</v>
      </c>
      <c r="K23" s="90">
        <f>pyReport!D23-L23*1000</f>
        <v>304.35578068565559</v>
      </c>
      <c r="L23" s="73">
        <v>2.9834264856060068E-4</v>
      </c>
      <c r="M23">
        <v>304.30505100757597</v>
      </c>
      <c r="N23" s="79">
        <f t="shared" si="2"/>
        <v>1</v>
      </c>
      <c r="O23" s="79">
        <f t="shared" si="3"/>
        <v>1.0000958223642578</v>
      </c>
      <c r="P23" s="79">
        <f t="shared" si="4"/>
        <v>0.99975526127247316</v>
      </c>
      <c r="Q23" s="79">
        <f t="shared" si="5"/>
        <v>0.99969626017773117</v>
      </c>
      <c r="R23" s="79">
        <f t="shared" si="6"/>
        <v>0.99968791064388973</v>
      </c>
      <c r="S23" s="79">
        <f t="shared" si="7"/>
        <v>0.99990473061760843</v>
      </c>
      <c r="T23" s="79">
        <f t="shared" si="8"/>
        <v>0.99979784203599642</v>
      </c>
      <c r="U23" s="79">
        <f t="shared" si="9"/>
        <v>0.99985473287009075</v>
      </c>
      <c r="V23" s="79">
        <f t="shared" si="10"/>
        <v>0.99968807821148487</v>
      </c>
      <c r="W23">
        <f t="shared" si="1"/>
        <v>6.8988173455978988E-5</v>
      </c>
      <c r="X23" t="s">
        <v>194</v>
      </c>
    </row>
    <row r="24" spans="3:24" x14ac:dyDescent="0.2">
      <c r="C24" s="79">
        <v>200</v>
      </c>
      <c r="D24" s="80">
        <v>207.7</v>
      </c>
      <c r="E24" s="81">
        <v>207.75955522713602</v>
      </c>
      <c r="F24" s="82">
        <v>207.69778408420106</v>
      </c>
      <c r="G24" s="82">
        <v>207.69286015229636</v>
      </c>
      <c r="H24" s="83" t="s">
        <v>195</v>
      </c>
      <c r="I24" s="83" t="s">
        <v>196</v>
      </c>
      <c r="J24" s="90">
        <f>pyReport!L24-L24*1000</f>
        <v>207.71794025522809</v>
      </c>
      <c r="K24" s="90">
        <f>pyReport!D24-L24*1000</f>
        <v>207.72915680505287</v>
      </c>
      <c r="L24" s="73">
        <v>1.3191132588383171E-4</v>
      </c>
      <c r="M24">
        <v>207.68203103503799</v>
      </c>
      <c r="N24" s="79">
        <f t="shared" si="2"/>
        <v>1</v>
      </c>
      <c r="O24" s="79">
        <f t="shared" si="3"/>
        <v>1.0002867367700339</v>
      </c>
      <c r="P24" s="79">
        <f t="shared" si="4"/>
        <v>0.99998933117092481</v>
      </c>
      <c r="Q24" s="79">
        <f t="shared" si="5"/>
        <v>0.99996562422867774</v>
      </c>
      <c r="R24" s="79">
        <f t="shared" si="6"/>
        <v>0.99995666827154561</v>
      </c>
      <c r="S24" s="79">
        <f t="shared" si="7"/>
        <v>1.0001588830043333</v>
      </c>
      <c r="T24" s="79">
        <f t="shared" si="8"/>
        <v>1.0000863758075498</v>
      </c>
      <c r="U24" s="79">
        <f t="shared" si="9"/>
        <v>1.0001403794176835</v>
      </c>
      <c r="V24" s="79">
        <f t="shared" si="10"/>
        <v>0.99991348596551755</v>
      </c>
      <c r="W24">
        <f t="shared" si="1"/>
        <v>6.7404910929224853E-5</v>
      </c>
      <c r="X24" t="s">
        <v>197</v>
      </c>
    </row>
    <row r="25" spans="3:24" x14ac:dyDescent="0.2">
      <c r="C25" s="79">
        <v>100</v>
      </c>
      <c r="D25" s="80">
        <v>103.9</v>
      </c>
      <c r="E25" s="81">
        <v>103.92778536729601</v>
      </c>
      <c r="F25" s="82">
        <v>103.9029008271598</v>
      </c>
      <c r="G25" s="82">
        <v>103.90394000578577</v>
      </c>
      <c r="H25" s="83" t="s">
        <v>198</v>
      </c>
      <c r="I25" s="83" t="s">
        <v>199</v>
      </c>
      <c r="J25" s="90">
        <f>pyReport!L25-L25*1000</f>
        <v>103.9119108468407</v>
      </c>
      <c r="K25" s="90">
        <f>pyReport!D25-L25*1000</f>
        <v>103.9170190382397</v>
      </c>
      <c r="L25" s="73">
        <v>3.251896478209665E-5</v>
      </c>
      <c r="M25">
        <v>103.89552681208001</v>
      </c>
      <c r="N25" s="79">
        <f t="shared" si="2"/>
        <v>1</v>
      </c>
      <c r="O25" s="79">
        <f t="shared" si="3"/>
        <v>1.000267424131819</v>
      </c>
      <c r="P25" s="79">
        <f t="shared" si="4"/>
        <v>1.000027919414435</v>
      </c>
      <c r="Q25" s="79">
        <f t="shared" si="5"/>
        <v>1.0000379211336454</v>
      </c>
      <c r="R25" s="79">
        <f t="shared" si="6"/>
        <v>1</v>
      </c>
      <c r="S25" s="79">
        <f t="shared" si="7"/>
        <v>1.0002213666987487</v>
      </c>
      <c r="T25" s="79">
        <f t="shared" si="8"/>
        <v>1.0001146376019316</v>
      </c>
      <c r="U25" s="79">
        <f t="shared" si="9"/>
        <v>1.0001638021004784</v>
      </c>
      <c r="V25" s="79">
        <f t="shared" si="10"/>
        <v>0.99995694718075079</v>
      </c>
      <c r="W25">
        <f t="shared" si="1"/>
        <v>7.699711260827719E-5</v>
      </c>
      <c r="X25" t="s">
        <v>200</v>
      </c>
    </row>
  </sheetData>
  <pageMargins left="0.7" right="0.7" top="0.75" bottom="0.75" header="0.3" footer="0.3"/>
  <pageSetup paperSize="9" scale="56"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I68"/>
  <sheetViews>
    <sheetView zoomScaleNormal="100" workbookViewId="0">
      <selection activeCell="B64" sqref="B64"/>
    </sheetView>
  </sheetViews>
  <sheetFormatPr defaultColWidth="8.7109375" defaultRowHeight="12.75" x14ac:dyDescent="0.2"/>
  <cols>
    <col min="2" max="2" width="65.140625" customWidth="1"/>
  </cols>
  <sheetData>
    <row r="3" spans="2:3" x14ac:dyDescent="0.2">
      <c r="B3" t="s">
        <v>82</v>
      </c>
    </row>
    <row r="4" spans="2:3" x14ac:dyDescent="0.2">
      <c r="B4" t="s">
        <v>83</v>
      </c>
    </row>
    <row r="5" spans="2:3" x14ac:dyDescent="0.2">
      <c r="B5" t="s">
        <v>84</v>
      </c>
      <c r="C5">
        <v>0.120486588288272</v>
      </c>
    </row>
    <row r="6" spans="2:3" x14ac:dyDescent="0.2">
      <c r="B6" t="s">
        <v>85</v>
      </c>
      <c r="C6">
        <v>0.12043166848900801</v>
      </c>
    </row>
    <row r="7" spans="2:3" x14ac:dyDescent="0.2">
      <c r="B7" t="s">
        <v>86</v>
      </c>
      <c r="C7">
        <v>1.33294898445812E-2</v>
      </c>
    </row>
    <row r="8" spans="2:3" x14ac:dyDescent="0.2">
      <c r="B8" t="s">
        <v>87</v>
      </c>
      <c r="C8">
        <v>1.20186496693308E-2</v>
      </c>
    </row>
    <row r="9" spans="2:3" x14ac:dyDescent="0.2">
      <c r="B9" t="s">
        <v>88</v>
      </c>
      <c r="C9">
        <v>1.1776113995447799E-3</v>
      </c>
    </row>
    <row r="10" spans="2:3" x14ac:dyDescent="0.2">
      <c r="B10" t="s">
        <v>89</v>
      </c>
      <c r="C10">
        <v>1.1776113995447799E-3</v>
      </c>
    </row>
    <row r="11" spans="2:3" x14ac:dyDescent="0.2">
      <c r="B11" t="s">
        <v>90</v>
      </c>
      <c r="C11">
        <v>1.0000707009045599E-3</v>
      </c>
    </row>
    <row r="12" spans="2:3" x14ac:dyDescent="0.2">
      <c r="B12" t="s">
        <v>91</v>
      </c>
      <c r="C12">
        <v>1.0000707009045599E-3</v>
      </c>
    </row>
    <row r="13" spans="2:3" x14ac:dyDescent="0.2">
      <c r="B13" t="s">
        <v>92</v>
      </c>
      <c r="C13">
        <v>8.4120941741272796E-4</v>
      </c>
    </row>
    <row r="14" spans="2:3" x14ac:dyDescent="0.2">
      <c r="B14" t="s">
        <v>93</v>
      </c>
      <c r="C14">
        <v>1.5021761977077099E-4</v>
      </c>
    </row>
    <row r="15" spans="2:3" x14ac:dyDescent="0.2">
      <c r="B15" t="s">
        <v>94</v>
      </c>
      <c r="C15">
        <v>1.5021761977077099E-4</v>
      </c>
    </row>
    <row r="16" spans="2:3" x14ac:dyDescent="0.2">
      <c r="B16" t="s">
        <v>95</v>
      </c>
      <c r="C16">
        <v>1.5021761977077099E-4</v>
      </c>
    </row>
    <row r="17" spans="2:3" x14ac:dyDescent="0.2">
      <c r="B17" t="s">
        <v>96</v>
      </c>
      <c r="C17" s="46">
        <v>6.0087047908308501E-5</v>
      </c>
    </row>
    <row r="18" spans="2:3" x14ac:dyDescent="0.2">
      <c r="B18" t="s">
        <v>97</v>
      </c>
      <c r="C18" s="46">
        <v>6.0087047908308501E-5</v>
      </c>
    </row>
    <row r="19" spans="2:3" x14ac:dyDescent="0.2">
      <c r="B19" t="s">
        <v>98</v>
      </c>
      <c r="C19" s="46">
        <v>6.0087047908308501E-5</v>
      </c>
    </row>
    <row r="20" spans="2:3" x14ac:dyDescent="0.2">
      <c r="B20" t="s">
        <v>99</v>
      </c>
      <c r="C20" s="46">
        <v>6.0087047908308501E-5</v>
      </c>
    </row>
    <row r="21" spans="2:3" x14ac:dyDescent="0.2">
      <c r="B21" t="s">
        <v>100</v>
      </c>
      <c r="C21" s="46">
        <v>6.0087047908308501E-5</v>
      </c>
    </row>
    <row r="22" spans="2:3" x14ac:dyDescent="0.2">
      <c r="B22" t="s">
        <v>101</v>
      </c>
      <c r="C22" s="46">
        <v>6.0087047908308501E-5</v>
      </c>
    </row>
    <row r="23" spans="2:3" x14ac:dyDescent="0.2">
      <c r="B23" t="s">
        <v>102</v>
      </c>
      <c r="C23" s="46">
        <v>4.2487959037445902E-5</v>
      </c>
    </row>
    <row r="24" spans="2:3" x14ac:dyDescent="0.2">
      <c r="B24" t="s">
        <v>103</v>
      </c>
      <c r="C24" s="46">
        <v>3.0043271590672901E-5</v>
      </c>
    </row>
    <row r="25" spans="2:3" x14ac:dyDescent="0.2">
      <c r="B25" t="s">
        <v>104</v>
      </c>
      <c r="C25" s="46">
        <v>3.0043109359245099E-5</v>
      </c>
    </row>
    <row r="26" spans="2:3" x14ac:dyDescent="0.2">
      <c r="B26" t="s">
        <v>105</v>
      </c>
      <c r="C26" s="46">
        <v>3.0041892679381701E-5</v>
      </c>
    </row>
    <row r="27" spans="2:3" x14ac:dyDescent="0.2">
      <c r="B27" t="s">
        <v>106</v>
      </c>
      <c r="C27" s="46">
        <v>1.2431840226785001E-5</v>
      </c>
    </row>
    <row r="28" spans="2:3" x14ac:dyDescent="0.2">
      <c r="B28" t="s">
        <v>107</v>
      </c>
      <c r="C28" s="46">
        <v>1.2400876691216501E-6</v>
      </c>
    </row>
    <row r="29" spans="2:3" x14ac:dyDescent="0.2">
      <c r="B29" t="s">
        <v>108</v>
      </c>
      <c r="C29">
        <v>0</v>
      </c>
    </row>
    <row r="30" spans="2:3" x14ac:dyDescent="0.2">
      <c r="B30" t="s">
        <v>109</v>
      </c>
      <c r="C30">
        <v>0</v>
      </c>
    </row>
    <row r="31" spans="2:3" x14ac:dyDescent="0.2">
      <c r="B31" t="s">
        <v>110</v>
      </c>
      <c r="C31">
        <v>0</v>
      </c>
    </row>
    <row r="32" spans="2:3" x14ac:dyDescent="0.2">
      <c r="B32" t="s">
        <v>111</v>
      </c>
      <c r="C32">
        <v>0</v>
      </c>
    </row>
    <row r="33" spans="2:9" x14ac:dyDescent="0.2">
      <c r="B33" t="s">
        <v>112</v>
      </c>
      <c r="C33">
        <v>0</v>
      </c>
    </row>
    <row r="34" spans="2:9" x14ac:dyDescent="0.2">
      <c r="B34" t="s">
        <v>113</v>
      </c>
      <c r="C34">
        <v>0</v>
      </c>
    </row>
    <row r="35" spans="2:9" x14ac:dyDescent="0.2">
      <c r="B35" t="s">
        <v>114</v>
      </c>
      <c r="C35">
        <v>0</v>
      </c>
    </row>
    <row r="37" spans="2:9" x14ac:dyDescent="0.2">
      <c r="B37" t="s">
        <v>115</v>
      </c>
    </row>
    <row r="38" spans="2:9" x14ac:dyDescent="0.2">
      <c r="B38" t="s">
        <v>84</v>
      </c>
      <c r="C38" s="46">
        <v>1.9769122898460399E-6</v>
      </c>
      <c r="I38" s="46"/>
    </row>
    <row r="39" spans="2:9" x14ac:dyDescent="0.2">
      <c r="B39" t="s">
        <v>85</v>
      </c>
      <c r="C39" s="46">
        <v>1.92113603318284E-6</v>
      </c>
      <c r="I39" s="46"/>
    </row>
    <row r="40" spans="2:9" x14ac:dyDescent="0.2">
      <c r="B40" t="s">
        <v>92</v>
      </c>
      <c r="C40" s="46">
        <v>1.10430139352558E-6</v>
      </c>
      <c r="I40" s="46"/>
    </row>
    <row r="41" spans="2:9" x14ac:dyDescent="0.2">
      <c r="B41" t="s">
        <v>110</v>
      </c>
      <c r="C41" s="46">
        <v>3.9439769315746902E-7</v>
      </c>
      <c r="I41" s="46"/>
    </row>
    <row r="42" spans="2:9" x14ac:dyDescent="0.2">
      <c r="B42" t="s">
        <v>93</v>
      </c>
      <c r="C42" s="46">
        <v>1.9719884657873401E-7</v>
      </c>
      <c r="I42" s="46"/>
    </row>
    <row r="43" spans="2:9" x14ac:dyDescent="0.2">
      <c r="B43" t="s">
        <v>95</v>
      </c>
      <c r="C43" s="46">
        <v>1.9719884657873401E-7</v>
      </c>
      <c r="I43" s="46"/>
    </row>
    <row r="44" spans="2:9" x14ac:dyDescent="0.2">
      <c r="B44" t="s">
        <v>116</v>
      </c>
      <c r="C44" s="46">
        <v>1.9719884657873401E-7</v>
      </c>
      <c r="I44" s="46"/>
    </row>
    <row r="45" spans="2:9" x14ac:dyDescent="0.2">
      <c r="B45" t="s">
        <v>117</v>
      </c>
      <c r="C45" s="46">
        <v>1.17777061040889E-7</v>
      </c>
      <c r="I45" s="46"/>
    </row>
    <row r="46" spans="2:9" x14ac:dyDescent="0.2">
      <c r="B46" t="s">
        <v>118</v>
      </c>
      <c r="C46" s="46">
        <v>1.17777061040889E-7</v>
      </c>
      <c r="I46" s="46"/>
    </row>
    <row r="47" spans="2:9" x14ac:dyDescent="0.2">
      <c r="B47" t="s">
        <v>86</v>
      </c>
      <c r="C47" s="46">
        <v>1.01608476085572E-7</v>
      </c>
      <c r="I47" s="46"/>
    </row>
    <row r="48" spans="2:9" x14ac:dyDescent="0.2">
      <c r="B48" t="s">
        <v>111</v>
      </c>
      <c r="C48" s="46">
        <v>1.0002059085974499E-7</v>
      </c>
      <c r="I48" s="46"/>
    </row>
    <row r="49" spans="2:9" x14ac:dyDescent="0.2">
      <c r="B49" t="s">
        <v>113</v>
      </c>
      <c r="C49" s="46">
        <v>1.0002059085974499E-7</v>
      </c>
      <c r="I49" s="46"/>
    </row>
    <row r="50" spans="2:9" x14ac:dyDescent="0.2">
      <c r="B50" t="s">
        <v>109</v>
      </c>
      <c r="C50" s="46">
        <v>7.8879538631493801E-8</v>
      </c>
      <c r="I50" s="46"/>
    </row>
    <row r="51" spans="2:9" x14ac:dyDescent="0.2">
      <c r="B51" t="s">
        <v>98</v>
      </c>
      <c r="C51" s="46">
        <v>7.8879538631493801E-8</v>
      </c>
      <c r="I51" s="46"/>
    </row>
    <row r="52" spans="2:9" x14ac:dyDescent="0.2">
      <c r="B52" t="s">
        <v>99</v>
      </c>
      <c r="C52" s="46">
        <v>7.8879538631493801E-8</v>
      </c>
      <c r="I52" s="46"/>
    </row>
    <row r="53" spans="2:9" x14ac:dyDescent="0.2">
      <c r="B53" t="s">
        <v>100</v>
      </c>
      <c r="C53" s="46">
        <v>7.8879538631493801E-8</v>
      </c>
      <c r="I53" s="46"/>
    </row>
    <row r="54" spans="2:9" x14ac:dyDescent="0.2">
      <c r="B54" t="s">
        <v>101</v>
      </c>
      <c r="C54" s="46">
        <v>7.8879538631493801E-8</v>
      </c>
      <c r="I54" s="46"/>
    </row>
    <row r="55" spans="2:9" x14ac:dyDescent="0.2">
      <c r="B55" t="s">
        <v>108</v>
      </c>
      <c r="C55" s="46">
        <v>7.8867787331181396E-8</v>
      </c>
      <c r="I55" s="46"/>
    </row>
    <row r="56" spans="2:9" x14ac:dyDescent="0.2">
      <c r="B56" t="s">
        <v>102</v>
      </c>
      <c r="C56" s="46">
        <v>5.5776256663195502E-8</v>
      </c>
      <c r="I56" s="46"/>
    </row>
    <row r="57" spans="2:9" x14ac:dyDescent="0.2">
      <c r="B57" t="s">
        <v>103</v>
      </c>
      <c r="C57" s="46">
        <v>3.94394380244675E-8</v>
      </c>
      <c r="I57" s="46"/>
    </row>
    <row r="58" spans="2:9" x14ac:dyDescent="0.2">
      <c r="B58" t="s">
        <v>105</v>
      </c>
      <c r="C58" s="46">
        <v>3.9437627852554499E-8</v>
      </c>
      <c r="I58" s="46"/>
    </row>
    <row r="59" spans="2:9" x14ac:dyDescent="0.2">
      <c r="B59" t="s">
        <v>104</v>
      </c>
      <c r="C59">
        <v>0</v>
      </c>
    </row>
    <row r="60" spans="2:9" x14ac:dyDescent="0.2">
      <c r="B60" t="s">
        <v>94</v>
      </c>
      <c r="C60">
        <v>0</v>
      </c>
    </row>
    <row r="61" spans="2:9" x14ac:dyDescent="0.2">
      <c r="B61" t="s">
        <v>96</v>
      </c>
      <c r="C61">
        <v>0</v>
      </c>
    </row>
    <row r="62" spans="2:9" x14ac:dyDescent="0.2">
      <c r="B62" t="s">
        <v>97</v>
      </c>
      <c r="C62">
        <v>0</v>
      </c>
    </row>
    <row r="63" spans="2:9" x14ac:dyDescent="0.2">
      <c r="B63" t="s">
        <v>90</v>
      </c>
      <c r="C63">
        <v>0</v>
      </c>
    </row>
    <row r="64" spans="2:9" x14ac:dyDescent="0.2">
      <c r="B64" t="s">
        <v>119</v>
      </c>
      <c r="C64">
        <v>0</v>
      </c>
    </row>
    <row r="65" spans="2:3" x14ac:dyDescent="0.2">
      <c r="B65" t="s">
        <v>106</v>
      </c>
      <c r="C65">
        <v>0</v>
      </c>
    </row>
    <row r="66" spans="2:3" x14ac:dyDescent="0.2">
      <c r="B66" t="s">
        <v>120</v>
      </c>
      <c r="C66">
        <v>0</v>
      </c>
    </row>
    <row r="67" spans="2:3" x14ac:dyDescent="0.2">
      <c r="B67" t="s">
        <v>91</v>
      </c>
      <c r="C67">
        <v>0</v>
      </c>
    </row>
    <row r="68" spans="2:3" x14ac:dyDescent="0.2">
      <c r="B68" t="s">
        <v>121</v>
      </c>
      <c r="C68">
        <v>0</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76"/>
  <sheetViews>
    <sheetView zoomScaleNormal="100" workbookViewId="0">
      <selection activeCell="G3" sqref="G3"/>
    </sheetView>
  </sheetViews>
  <sheetFormatPr defaultColWidth="8.7109375" defaultRowHeight="12.75" x14ac:dyDescent="0.2"/>
  <cols>
    <col min="1" max="1" width="16.42578125" customWidth="1"/>
    <col min="2" max="2" width="11.140625" customWidth="1"/>
    <col min="3" max="3" width="11.28515625" customWidth="1"/>
    <col min="5" max="6" width="12.140625" customWidth="1"/>
    <col min="7" max="7" width="11.42578125" customWidth="1"/>
  </cols>
  <sheetData>
    <row r="1" spans="1:9" x14ac:dyDescent="0.2">
      <c r="A1" s="57">
        <v>43073.6875</v>
      </c>
      <c r="B1">
        <v>20.9</v>
      </c>
      <c r="C1">
        <v>53.6</v>
      </c>
      <c r="G1" t="s">
        <v>122</v>
      </c>
      <c r="H1">
        <v>-2.1280000000000001</v>
      </c>
      <c r="I1" t="s">
        <v>123</v>
      </c>
    </row>
    <row r="2" spans="1:9" x14ac:dyDescent="0.2">
      <c r="A2" s="57">
        <v>43073.690972222197</v>
      </c>
      <c r="B2">
        <v>20.9</v>
      </c>
      <c r="C2">
        <v>53.8</v>
      </c>
      <c r="E2" t="s">
        <v>23</v>
      </c>
      <c r="G2" t="s">
        <v>124</v>
      </c>
    </row>
    <row r="3" spans="1:9" x14ac:dyDescent="0.2">
      <c r="A3" s="57">
        <v>43073.694444444402</v>
      </c>
      <c r="B3">
        <v>20.9</v>
      </c>
      <c r="C3">
        <v>54.8</v>
      </c>
      <c r="E3" s="58" t="e">
        <f>#REF!</f>
        <v>#REF!</v>
      </c>
      <c r="G3">
        <f>AVERAGE(C1:C292)</f>
        <v>52.280479452054777</v>
      </c>
      <c r="H3" s="59">
        <f>G3+H1</f>
        <v>50.152479452054777</v>
      </c>
    </row>
    <row r="4" spans="1:9" x14ac:dyDescent="0.2">
      <c r="A4" s="57">
        <v>43073.697916666701</v>
      </c>
      <c r="B4">
        <v>20.9</v>
      </c>
      <c r="C4">
        <v>54.4</v>
      </c>
      <c r="E4" s="60" t="e">
        <f>#REF!</f>
        <v>#REF!</v>
      </c>
      <c r="G4">
        <f>STDEV(C1:C292)</f>
        <v>1.1136434937588653</v>
      </c>
    </row>
    <row r="5" spans="1:9" x14ac:dyDescent="0.2">
      <c r="A5" s="57">
        <v>43073.701388888898</v>
      </c>
      <c r="B5">
        <v>20.9</v>
      </c>
      <c r="C5">
        <v>54.3</v>
      </c>
    </row>
    <row r="6" spans="1:9" x14ac:dyDescent="0.2">
      <c r="A6" s="57">
        <v>43073.704861111102</v>
      </c>
      <c r="B6">
        <v>20.8</v>
      </c>
      <c r="C6">
        <v>54.2</v>
      </c>
      <c r="E6" t="s">
        <v>125</v>
      </c>
    </row>
    <row r="7" spans="1:9" x14ac:dyDescent="0.2">
      <c r="A7" s="57">
        <v>43073.708333333299</v>
      </c>
      <c r="B7">
        <v>20.8</v>
      </c>
      <c r="C7">
        <v>53.6</v>
      </c>
    </row>
    <row r="8" spans="1:9" x14ac:dyDescent="0.2">
      <c r="A8" s="57">
        <v>43073.711805555598</v>
      </c>
      <c r="B8">
        <v>20.9</v>
      </c>
      <c r="C8">
        <v>53.4</v>
      </c>
    </row>
    <row r="9" spans="1:9" x14ac:dyDescent="0.2">
      <c r="A9" s="57">
        <v>43073.715277777803</v>
      </c>
      <c r="B9">
        <v>20.9</v>
      </c>
      <c r="C9">
        <v>53.3</v>
      </c>
    </row>
    <row r="10" spans="1:9" x14ac:dyDescent="0.2">
      <c r="A10" s="57">
        <v>43073.71875</v>
      </c>
      <c r="B10">
        <v>20.8</v>
      </c>
      <c r="C10">
        <v>53.7</v>
      </c>
    </row>
    <row r="11" spans="1:9" x14ac:dyDescent="0.2">
      <c r="A11" s="57">
        <v>43073.722222222197</v>
      </c>
      <c r="B11">
        <v>20.8</v>
      </c>
      <c r="C11">
        <v>53</v>
      </c>
    </row>
    <row r="12" spans="1:9" x14ac:dyDescent="0.2">
      <c r="A12" s="57">
        <v>43073.725694444402</v>
      </c>
      <c r="B12">
        <v>20.8</v>
      </c>
      <c r="C12">
        <v>52.6</v>
      </c>
    </row>
    <row r="13" spans="1:9" x14ac:dyDescent="0.2">
      <c r="A13" s="57">
        <v>43073.729166666701</v>
      </c>
      <c r="B13">
        <v>20.9</v>
      </c>
      <c r="C13">
        <v>52.4</v>
      </c>
    </row>
    <row r="14" spans="1:9" x14ac:dyDescent="0.2">
      <c r="A14" s="57">
        <v>43073.732638888898</v>
      </c>
      <c r="B14">
        <v>20.9</v>
      </c>
      <c r="C14">
        <v>52</v>
      </c>
    </row>
    <row r="15" spans="1:9" x14ac:dyDescent="0.2">
      <c r="A15" s="57">
        <v>43073.736111111102</v>
      </c>
      <c r="B15">
        <v>20.9</v>
      </c>
      <c r="C15">
        <v>52</v>
      </c>
    </row>
    <row r="16" spans="1:9" x14ac:dyDescent="0.2">
      <c r="A16" s="57">
        <v>43073.739583333299</v>
      </c>
      <c r="B16">
        <v>20.9</v>
      </c>
      <c r="C16">
        <v>52.1</v>
      </c>
    </row>
    <row r="17" spans="1:3" x14ac:dyDescent="0.2">
      <c r="A17" s="57">
        <v>43073.743055555598</v>
      </c>
      <c r="B17">
        <v>20.9</v>
      </c>
      <c r="C17">
        <v>52</v>
      </c>
    </row>
    <row r="18" spans="1:3" x14ac:dyDescent="0.2">
      <c r="A18" s="57">
        <v>43073.746527777803</v>
      </c>
      <c r="B18">
        <v>20.9</v>
      </c>
      <c r="C18">
        <v>51.8</v>
      </c>
    </row>
    <row r="19" spans="1:3" x14ac:dyDescent="0.2">
      <c r="A19" s="57">
        <v>43073.75</v>
      </c>
      <c r="B19">
        <v>20.9</v>
      </c>
      <c r="C19">
        <v>52.1</v>
      </c>
    </row>
    <row r="20" spans="1:3" x14ac:dyDescent="0.2">
      <c r="A20" s="57">
        <v>43073.753472222197</v>
      </c>
      <c r="B20">
        <v>20.9</v>
      </c>
      <c r="C20">
        <v>52.1</v>
      </c>
    </row>
    <row r="21" spans="1:3" x14ac:dyDescent="0.2">
      <c r="A21" s="57">
        <v>43073.756944444402</v>
      </c>
      <c r="B21">
        <v>20.9</v>
      </c>
      <c r="C21">
        <v>52</v>
      </c>
    </row>
    <row r="22" spans="1:3" x14ac:dyDescent="0.2">
      <c r="A22" s="57">
        <v>43073.760416666701</v>
      </c>
      <c r="B22">
        <v>20.9</v>
      </c>
      <c r="C22">
        <v>52.3</v>
      </c>
    </row>
    <row r="23" spans="1:3" x14ac:dyDescent="0.2">
      <c r="A23" s="57">
        <v>43073.763888888898</v>
      </c>
      <c r="B23">
        <v>20.9</v>
      </c>
      <c r="C23">
        <v>52.3</v>
      </c>
    </row>
    <row r="24" spans="1:3" x14ac:dyDescent="0.2">
      <c r="A24" s="57">
        <v>43073.767361111102</v>
      </c>
      <c r="B24">
        <v>20.9</v>
      </c>
      <c r="C24">
        <v>52</v>
      </c>
    </row>
    <row r="25" spans="1:3" x14ac:dyDescent="0.2">
      <c r="A25" s="57">
        <v>43073.770833333299</v>
      </c>
      <c r="B25">
        <v>21</v>
      </c>
      <c r="C25">
        <v>51.9</v>
      </c>
    </row>
    <row r="26" spans="1:3" x14ac:dyDescent="0.2">
      <c r="A26" s="57">
        <v>43073.774305555598</v>
      </c>
      <c r="B26">
        <v>21</v>
      </c>
      <c r="C26">
        <v>52</v>
      </c>
    </row>
    <row r="27" spans="1:3" x14ac:dyDescent="0.2">
      <c r="A27" s="57">
        <v>43073.777777777803</v>
      </c>
      <c r="B27">
        <v>20.9</v>
      </c>
      <c r="C27">
        <v>51.9</v>
      </c>
    </row>
    <row r="28" spans="1:3" x14ac:dyDescent="0.2">
      <c r="A28" s="57">
        <v>43073.78125</v>
      </c>
      <c r="B28">
        <v>20.9</v>
      </c>
      <c r="C28">
        <v>51.9</v>
      </c>
    </row>
    <row r="29" spans="1:3" x14ac:dyDescent="0.2">
      <c r="A29" s="57">
        <v>43073.784722222197</v>
      </c>
      <c r="B29">
        <v>20.9</v>
      </c>
      <c r="C29">
        <v>51.8</v>
      </c>
    </row>
    <row r="30" spans="1:3" x14ac:dyDescent="0.2">
      <c r="A30" s="57">
        <v>43073.788194444402</v>
      </c>
      <c r="B30">
        <v>20.9</v>
      </c>
      <c r="C30">
        <v>51.8</v>
      </c>
    </row>
    <row r="31" spans="1:3" x14ac:dyDescent="0.2">
      <c r="A31" s="57">
        <v>43073.791666666701</v>
      </c>
      <c r="B31">
        <v>20.9</v>
      </c>
      <c r="C31">
        <v>51.8</v>
      </c>
    </row>
    <row r="32" spans="1:3" x14ac:dyDescent="0.2">
      <c r="A32" s="57">
        <v>43073.795138888898</v>
      </c>
      <c r="B32">
        <v>20.9</v>
      </c>
      <c r="C32">
        <v>51.8</v>
      </c>
    </row>
    <row r="33" spans="1:3" x14ac:dyDescent="0.2">
      <c r="A33" s="57">
        <v>43073.798611111102</v>
      </c>
      <c r="B33">
        <v>21</v>
      </c>
      <c r="C33">
        <v>51.6</v>
      </c>
    </row>
    <row r="34" spans="1:3" x14ac:dyDescent="0.2">
      <c r="A34" s="57">
        <v>43073.802083333299</v>
      </c>
      <c r="B34">
        <v>21</v>
      </c>
      <c r="C34">
        <v>51.7</v>
      </c>
    </row>
    <row r="35" spans="1:3" x14ac:dyDescent="0.2">
      <c r="A35" s="57">
        <v>43073.805555555598</v>
      </c>
      <c r="B35">
        <v>21</v>
      </c>
      <c r="C35">
        <v>51.6</v>
      </c>
    </row>
    <row r="36" spans="1:3" x14ac:dyDescent="0.2">
      <c r="A36" s="57">
        <v>43073.809027777803</v>
      </c>
      <c r="B36">
        <v>21</v>
      </c>
      <c r="C36">
        <v>51.7</v>
      </c>
    </row>
    <row r="37" spans="1:3" x14ac:dyDescent="0.2">
      <c r="A37" s="57">
        <v>43073.8125</v>
      </c>
      <c r="B37">
        <v>21</v>
      </c>
      <c r="C37">
        <v>51.7</v>
      </c>
    </row>
    <row r="38" spans="1:3" x14ac:dyDescent="0.2">
      <c r="A38" s="57">
        <v>43073.815972222197</v>
      </c>
      <c r="B38">
        <v>21</v>
      </c>
      <c r="C38">
        <v>51.7</v>
      </c>
    </row>
    <row r="39" spans="1:3" x14ac:dyDescent="0.2">
      <c r="A39" s="57">
        <v>43073.819444444402</v>
      </c>
      <c r="B39">
        <v>21</v>
      </c>
      <c r="C39">
        <v>51.9</v>
      </c>
    </row>
    <row r="40" spans="1:3" x14ac:dyDescent="0.2">
      <c r="A40" s="57">
        <v>43073.822916666701</v>
      </c>
      <c r="B40">
        <v>21</v>
      </c>
      <c r="C40">
        <v>51.9</v>
      </c>
    </row>
    <row r="41" spans="1:3" x14ac:dyDescent="0.2">
      <c r="A41" s="57">
        <v>43073.826388888898</v>
      </c>
      <c r="B41">
        <v>21</v>
      </c>
      <c r="C41">
        <v>51.6</v>
      </c>
    </row>
    <row r="42" spans="1:3" x14ac:dyDescent="0.2">
      <c r="A42" s="57">
        <v>43073.829861111102</v>
      </c>
      <c r="B42">
        <v>21</v>
      </c>
      <c r="C42">
        <v>51.7</v>
      </c>
    </row>
    <row r="43" spans="1:3" x14ac:dyDescent="0.2">
      <c r="A43" s="57">
        <v>43073.833333333299</v>
      </c>
      <c r="B43">
        <v>21</v>
      </c>
      <c r="C43">
        <v>51.7</v>
      </c>
    </row>
    <row r="44" spans="1:3" x14ac:dyDescent="0.2">
      <c r="A44" s="57">
        <v>43073.836805555598</v>
      </c>
      <c r="B44">
        <v>21</v>
      </c>
      <c r="C44">
        <v>51.7</v>
      </c>
    </row>
    <row r="45" spans="1:3" x14ac:dyDescent="0.2">
      <c r="A45" s="57">
        <v>43073.840277777803</v>
      </c>
      <c r="B45">
        <v>21</v>
      </c>
      <c r="C45">
        <v>51.6</v>
      </c>
    </row>
    <row r="46" spans="1:3" x14ac:dyDescent="0.2">
      <c r="A46" s="57">
        <v>43073.84375</v>
      </c>
      <c r="B46">
        <v>21</v>
      </c>
      <c r="C46">
        <v>51.9</v>
      </c>
    </row>
    <row r="47" spans="1:3" x14ac:dyDescent="0.2">
      <c r="A47" s="57">
        <v>43073.847222222197</v>
      </c>
      <c r="B47">
        <v>21</v>
      </c>
      <c r="C47">
        <v>51.9</v>
      </c>
    </row>
    <row r="48" spans="1:3" x14ac:dyDescent="0.2">
      <c r="A48" s="57">
        <v>43073.850694444402</v>
      </c>
      <c r="B48">
        <v>21</v>
      </c>
      <c r="C48">
        <v>51.9</v>
      </c>
    </row>
    <row r="49" spans="1:3" x14ac:dyDescent="0.2">
      <c r="A49" s="57">
        <v>43073.854166666701</v>
      </c>
      <c r="B49">
        <v>21</v>
      </c>
      <c r="C49">
        <v>51.8</v>
      </c>
    </row>
    <row r="50" spans="1:3" x14ac:dyDescent="0.2">
      <c r="A50" s="57">
        <v>43073.857638888898</v>
      </c>
      <c r="B50">
        <v>21</v>
      </c>
      <c r="C50">
        <v>51.7</v>
      </c>
    </row>
    <row r="51" spans="1:3" x14ac:dyDescent="0.2">
      <c r="A51" s="57">
        <v>43073.861111111102</v>
      </c>
      <c r="B51">
        <v>21.1</v>
      </c>
      <c r="C51">
        <v>51.6</v>
      </c>
    </row>
    <row r="52" spans="1:3" x14ac:dyDescent="0.2">
      <c r="A52" s="57">
        <v>43073.864583333299</v>
      </c>
      <c r="B52">
        <v>21.1</v>
      </c>
      <c r="C52">
        <v>51.8</v>
      </c>
    </row>
    <row r="53" spans="1:3" x14ac:dyDescent="0.2">
      <c r="A53" s="57">
        <v>43073.868055555598</v>
      </c>
      <c r="B53">
        <v>21</v>
      </c>
      <c r="C53">
        <v>52</v>
      </c>
    </row>
    <row r="54" spans="1:3" x14ac:dyDescent="0.2">
      <c r="A54" s="57">
        <v>43073.871527777803</v>
      </c>
      <c r="B54">
        <v>21</v>
      </c>
      <c r="C54">
        <v>52.2</v>
      </c>
    </row>
    <row r="55" spans="1:3" x14ac:dyDescent="0.2">
      <c r="A55" s="57">
        <v>43073.875</v>
      </c>
      <c r="B55">
        <v>21</v>
      </c>
      <c r="C55">
        <v>52.2</v>
      </c>
    </row>
    <row r="56" spans="1:3" x14ac:dyDescent="0.2">
      <c r="A56" s="57">
        <v>43073.878472222197</v>
      </c>
      <c r="B56">
        <v>21</v>
      </c>
      <c r="C56">
        <v>52</v>
      </c>
    </row>
    <row r="57" spans="1:3" x14ac:dyDescent="0.2">
      <c r="A57" s="57">
        <v>43073.881944444402</v>
      </c>
      <c r="B57">
        <v>21</v>
      </c>
      <c r="C57">
        <v>51.9</v>
      </c>
    </row>
    <row r="58" spans="1:3" x14ac:dyDescent="0.2">
      <c r="A58" s="57">
        <v>43073.885416666701</v>
      </c>
      <c r="B58">
        <v>21</v>
      </c>
      <c r="C58">
        <v>52.1</v>
      </c>
    </row>
    <row r="59" spans="1:3" x14ac:dyDescent="0.2">
      <c r="A59" s="57">
        <v>43073.888888888898</v>
      </c>
      <c r="B59">
        <v>21.1</v>
      </c>
      <c r="C59">
        <v>52</v>
      </c>
    </row>
    <row r="60" spans="1:3" x14ac:dyDescent="0.2">
      <c r="A60" s="57">
        <v>43073.892361111102</v>
      </c>
      <c r="B60">
        <v>21</v>
      </c>
      <c r="C60">
        <v>52.2</v>
      </c>
    </row>
    <row r="61" spans="1:3" x14ac:dyDescent="0.2">
      <c r="A61" s="57">
        <v>43073.895833333299</v>
      </c>
      <c r="B61">
        <v>21</v>
      </c>
      <c r="C61">
        <v>51.9</v>
      </c>
    </row>
    <row r="62" spans="1:3" x14ac:dyDescent="0.2">
      <c r="A62" s="57">
        <v>43073.899305555598</v>
      </c>
      <c r="B62">
        <v>21</v>
      </c>
      <c r="C62">
        <v>52</v>
      </c>
    </row>
    <row r="63" spans="1:3" x14ac:dyDescent="0.2">
      <c r="A63" s="57">
        <v>43073.902777777803</v>
      </c>
      <c r="B63">
        <v>21</v>
      </c>
      <c r="C63">
        <v>51.8</v>
      </c>
    </row>
    <row r="64" spans="1:3" x14ac:dyDescent="0.2">
      <c r="A64" s="57">
        <v>43073.90625</v>
      </c>
      <c r="B64">
        <v>21.1</v>
      </c>
      <c r="C64">
        <v>51.5</v>
      </c>
    </row>
    <row r="65" spans="1:3" x14ac:dyDescent="0.2">
      <c r="A65" s="57">
        <v>43073.909722222197</v>
      </c>
      <c r="B65">
        <v>21</v>
      </c>
      <c r="C65">
        <v>51.7</v>
      </c>
    </row>
    <row r="66" spans="1:3" x14ac:dyDescent="0.2">
      <c r="A66" s="57">
        <v>43073.913194444402</v>
      </c>
      <c r="B66">
        <v>21.1</v>
      </c>
      <c r="C66">
        <v>51.6</v>
      </c>
    </row>
    <row r="67" spans="1:3" x14ac:dyDescent="0.2">
      <c r="A67" s="57">
        <v>43073.916666666701</v>
      </c>
      <c r="B67">
        <v>21.1</v>
      </c>
      <c r="C67">
        <v>51.5</v>
      </c>
    </row>
    <row r="68" spans="1:3" x14ac:dyDescent="0.2">
      <c r="A68" s="57">
        <v>43073.920138888898</v>
      </c>
      <c r="B68">
        <v>21.1</v>
      </c>
      <c r="C68">
        <v>51.3</v>
      </c>
    </row>
    <row r="69" spans="1:3" x14ac:dyDescent="0.2">
      <c r="A69" s="57">
        <v>43073.923611111102</v>
      </c>
      <c r="B69">
        <v>21.1</v>
      </c>
      <c r="C69">
        <v>51.5</v>
      </c>
    </row>
    <row r="70" spans="1:3" x14ac:dyDescent="0.2">
      <c r="A70" s="57">
        <v>43073.927083333299</v>
      </c>
      <c r="B70">
        <v>21</v>
      </c>
      <c r="C70">
        <v>51.7</v>
      </c>
    </row>
    <row r="71" spans="1:3" x14ac:dyDescent="0.2">
      <c r="A71" s="57">
        <v>43073.930555555598</v>
      </c>
      <c r="B71">
        <v>21.1</v>
      </c>
      <c r="C71">
        <v>51.6</v>
      </c>
    </row>
    <row r="72" spans="1:3" x14ac:dyDescent="0.2">
      <c r="A72" s="57">
        <v>43073.934027777803</v>
      </c>
      <c r="B72">
        <v>21.1</v>
      </c>
      <c r="C72">
        <v>52</v>
      </c>
    </row>
    <row r="73" spans="1:3" x14ac:dyDescent="0.2">
      <c r="A73" s="57">
        <v>43073.9375</v>
      </c>
      <c r="B73">
        <v>21.1</v>
      </c>
      <c r="C73">
        <v>51.5</v>
      </c>
    </row>
    <row r="74" spans="1:3" x14ac:dyDescent="0.2">
      <c r="A74" s="57">
        <v>43073.940972222197</v>
      </c>
      <c r="B74">
        <v>21.1</v>
      </c>
      <c r="C74">
        <v>51.4</v>
      </c>
    </row>
    <row r="75" spans="1:3" x14ac:dyDescent="0.2">
      <c r="A75" s="57">
        <v>43073.944444444402</v>
      </c>
      <c r="B75">
        <v>21.1</v>
      </c>
      <c r="C75">
        <v>51.2</v>
      </c>
    </row>
    <row r="76" spans="1:3" x14ac:dyDescent="0.2">
      <c r="A76" s="57">
        <v>43073.947916666701</v>
      </c>
      <c r="B76">
        <v>21.1</v>
      </c>
      <c r="C76">
        <v>51.2</v>
      </c>
    </row>
    <row r="77" spans="1:3" x14ac:dyDescent="0.2">
      <c r="A77" s="57">
        <v>43073.951388888898</v>
      </c>
      <c r="B77">
        <v>21.1</v>
      </c>
      <c r="C77">
        <v>51.3</v>
      </c>
    </row>
    <row r="78" spans="1:3" x14ac:dyDescent="0.2">
      <c r="A78" s="57">
        <v>43073.954861111102</v>
      </c>
      <c r="B78">
        <v>21.1</v>
      </c>
      <c r="C78">
        <v>51.4</v>
      </c>
    </row>
    <row r="79" spans="1:3" x14ac:dyDescent="0.2">
      <c r="A79" s="57">
        <v>43073.958333333299</v>
      </c>
      <c r="B79">
        <v>21.1</v>
      </c>
      <c r="C79">
        <v>51.3</v>
      </c>
    </row>
    <row r="80" spans="1:3" x14ac:dyDescent="0.2">
      <c r="A80" s="57">
        <v>43073.961805555598</v>
      </c>
      <c r="B80">
        <v>21.1</v>
      </c>
      <c r="C80">
        <v>51.3</v>
      </c>
    </row>
    <row r="81" spans="1:3" x14ac:dyDescent="0.2">
      <c r="A81" s="57">
        <v>43073.965277777803</v>
      </c>
      <c r="B81">
        <v>21.2</v>
      </c>
      <c r="C81">
        <v>51.4</v>
      </c>
    </row>
    <row r="82" spans="1:3" x14ac:dyDescent="0.2">
      <c r="A82" s="57">
        <v>43073.96875</v>
      </c>
      <c r="B82">
        <v>21.2</v>
      </c>
      <c r="C82">
        <v>51.3</v>
      </c>
    </row>
    <row r="83" spans="1:3" x14ac:dyDescent="0.2">
      <c r="A83" s="57">
        <v>43073.972222222197</v>
      </c>
      <c r="B83">
        <v>21.2</v>
      </c>
      <c r="C83">
        <v>51.5</v>
      </c>
    </row>
    <row r="84" spans="1:3" x14ac:dyDescent="0.2">
      <c r="A84" s="57">
        <v>43073.975694444402</v>
      </c>
      <c r="B84">
        <v>21.1</v>
      </c>
      <c r="C84">
        <v>51.7</v>
      </c>
    </row>
    <row r="85" spans="1:3" x14ac:dyDescent="0.2">
      <c r="A85" s="57">
        <v>43073.979166666701</v>
      </c>
      <c r="B85">
        <v>21.1</v>
      </c>
      <c r="C85">
        <v>51.7</v>
      </c>
    </row>
    <row r="86" spans="1:3" x14ac:dyDescent="0.2">
      <c r="A86" s="57">
        <v>43073.982638888898</v>
      </c>
      <c r="B86">
        <v>21.1</v>
      </c>
      <c r="C86">
        <v>51.3</v>
      </c>
    </row>
    <row r="87" spans="1:3" x14ac:dyDescent="0.2">
      <c r="A87" s="57">
        <v>43073.986111111102</v>
      </c>
      <c r="B87">
        <v>21.1</v>
      </c>
      <c r="C87">
        <v>51.5</v>
      </c>
    </row>
    <row r="88" spans="1:3" x14ac:dyDescent="0.2">
      <c r="A88" s="57">
        <v>43073.989583333299</v>
      </c>
      <c r="B88">
        <v>21.1</v>
      </c>
      <c r="C88">
        <v>51.4</v>
      </c>
    </row>
    <row r="89" spans="1:3" x14ac:dyDescent="0.2">
      <c r="A89" s="57">
        <v>43073.993055555598</v>
      </c>
      <c r="B89">
        <v>21.1</v>
      </c>
      <c r="C89">
        <v>51.4</v>
      </c>
    </row>
    <row r="90" spans="1:3" x14ac:dyDescent="0.2">
      <c r="A90" s="57">
        <v>43073.996527777803</v>
      </c>
      <c r="B90">
        <v>21.1</v>
      </c>
      <c r="C90">
        <v>51.3</v>
      </c>
    </row>
    <row r="91" spans="1:3" x14ac:dyDescent="0.2">
      <c r="A91" s="57">
        <v>43074</v>
      </c>
      <c r="B91">
        <v>21.1</v>
      </c>
      <c r="C91">
        <v>51.4</v>
      </c>
    </row>
    <row r="92" spans="1:3" x14ac:dyDescent="0.2">
      <c r="A92" s="57">
        <v>43074.003472222197</v>
      </c>
      <c r="B92">
        <v>21.1</v>
      </c>
      <c r="C92">
        <v>51.3</v>
      </c>
    </row>
    <row r="93" spans="1:3" x14ac:dyDescent="0.2">
      <c r="A93" s="57">
        <v>43074.006944444402</v>
      </c>
      <c r="B93">
        <v>21.1</v>
      </c>
      <c r="C93">
        <v>51</v>
      </c>
    </row>
    <row r="94" spans="1:3" x14ac:dyDescent="0.2">
      <c r="A94" s="57">
        <v>43074.010416666701</v>
      </c>
      <c r="B94">
        <v>21.1</v>
      </c>
      <c r="C94">
        <v>51.3</v>
      </c>
    </row>
    <row r="95" spans="1:3" x14ac:dyDescent="0.2">
      <c r="A95" s="57">
        <v>43074.013888888898</v>
      </c>
      <c r="B95">
        <v>21.1</v>
      </c>
      <c r="C95">
        <v>51.1</v>
      </c>
    </row>
    <row r="96" spans="1:3" x14ac:dyDescent="0.2">
      <c r="A96" s="57">
        <v>43074.017361111102</v>
      </c>
      <c r="B96">
        <v>21.2</v>
      </c>
      <c r="C96">
        <v>51.2</v>
      </c>
    </row>
    <row r="97" spans="1:3" x14ac:dyDescent="0.2">
      <c r="A97" s="57">
        <v>43074.020833333299</v>
      </c>
      <c r="B97">
        <v>21.1</v>
      </c>
      <c r="C97">
        <v>51.4</v>
      </c>
    </row>
    <row r="98" spans="1:3" x14ac:dyDescent="0.2">
      <c r="A98" s="57">
        <v>43074.024305555598</v>
      </c>
      <c r="B98">
        <v>21.2</v>
      </c>
      <c r="C98">
        <v>51.3</v>
      </c>
    </row>
    <row r="99" spans="1:3" x14ac:dyDescent="0.2">
      <c r="A99" s="57">
        <v>43074.027777777803</v>
      </c>
      <c r="B99">
        <v>21.1</v>
      </c>
      <c r="C99">
        <v>51.5</v>
      </c>
    </row>
    <row r="100" spans="1:3" x14ac:dyDescent="0.2">
      <c r="A100" s="57">
        <v>43074.03125</v>
      </c>
      <c r="B100">
        <v>21.2</v>
      </c>
      <c r="C100">
        <v>51.3</v>
      </c>
    </row>
    <row r="101" spans="1:3" x14ac:dyDescent="0.2">
      <c r="A101" s="57">
        <v>43074.034722222197</v>
      </c>
      <c r="B101">
        <v>21.2</v>
      </c>
      <c r="C101">
        <v>51.3</v>
      </c>
    </row>
    <row r="102" spans="1:3" x14ac:dyDescent="0.2">
      <c r="A102" s="57">
        <v>43074.038194444402</v>
      </c>
      <c r="B102">
        <v>21.1</v>
      </c>
      <c r="C102">
        <v>51.3</v>
      </c>
    </row>
    <row r="103" spans="1:3" x14ac:dyDescent="0.2">
      <c r="A103" s="57">
        <v>43074.041666666701</v>
      </c>
      <c r="B103">
        <v>21.2</v>
      </c>
      <c r="C103">
        <v>51.3</v>
      </c>
    </row>
    <row r="104" spans="1:3" x14ac:dyDescent="0.2">
      <c r="A104" s="57">
        <v>43074.045138888898</v>
      </c>
      <c r="B104">
        <v>21.1</v>
      </c>
      <c r="C104">
        <v>51.4</v>
      </c>
    </row>
    <row r="105" spans="1:3" x14ac:dyDescent="0.2">
      <c r="A105" s="57">
        <v>43074.048611111102</v>
      </c>
      <c r="B105">
        <v>21.2</v>
      </c>
      <c r="C105">
        <v>51.2</v>
      </c>
    </row>
    <row r="106" spans="1:3" x14ac:dyDescent="0.2">
      <c r="A106" s="57">
        <v>43074.052083333299</v>
      </c>
      <c r="B106">
        <v>21.2</v>
      </c>
      <c r="C106">
        <v>51.1</v>
      </c>
    </row>
    <row r="107" spans="1:3" x14ac:dyDescent="0.2">
      <c r="A107" s="57">
        <v>43074.055555555598</v>
      </c>
      <c r="B107">
        <v>21.1</v>
      </c>
      <c r="C107">
        <v>51.3</v>
      </c>
    </row>
    <row r="108" spans="1:3" x14ac:dyDescent="0.2">
      <c r="A108" s="57">
        <v>43074.059027777803</v>
      </c>
      <c r="B108">
        <v>21.2</v>
      </c>
      <c r="C108">
        <v>51.9</v>
      </c>
    </row>
    <row r="109" spans="1:3" x14ac:dyDescent="0.2">
      <c r="A109" s="57">
        <v>43074.0625</v>
      </c>
      <c r="B109">
        <v>21.2</v>
      </c>
      <c r="C109">
        <v>51.9</v>
      </c>
    </row>
    <row r="110" spans="1:3" x14ac:dyDescent="0.2">
      <c r="A110" s="57">
        <v>43074.065972222197</v>
      </c>
      <c r="B110">
        <v>21.1</v>
      </c>
      <c r="C110">
        <v>52</v>
      </c>
    </row>
    <row r="111" spans="1:3" x14ac:dyDescent="0.2">
      <c r="A111" s="57">
        <v>43074.069444444402</v>
      </c>
      <c r="B111">
        <v>21.1</v>
      </c>
      <c r="C111">
        <v>51.8</v>
      </c>
    </row>
    <row r="112" spans="1:3" x14ac:dyDescent="0.2">
      <c r="A112" s="57">
        <v>43074.072916666701</v>
      </c>
      <c r="B112">
        <v>21.2</v>
      </c>
      <c r="C112">
        <v>51.8</v>
      </c>
    </row>
    <row r="113" spans="1:3" x14ac:dyDescent="0.2">
      <c r="A113" s="57">
        <v>43074.076388888898</v>
      </c>
      <c r="B113">
        <v>21.1</v>
      </c>
      <c r="C113">
        <v>51.8</v>
      </c>
    </row>
    <row r="114" spans="1:3" x14ac:dyDescent="0.2">
      <c r="A114" s="57">
        <v>43074.079861111102</v>
      </c>
      <c r="B114">
        <v>21.1</v>
      </c>
      <c r="C114">
        <v>51.9</v>
      </c>
    </row>
    <row r="115" spans="1:3" x14ac:dyDescent="0.2">
      <c r="A115" s="57">
        <v>43074.083333333299</v>
      </c>
      <c r="B115">
        <v>21.1</v>
      </c>
      <c r="C115">
        <v>52.1</v>
      </c>
    </row>
    <row r="116" spans="1:3" x14ac:dyDescent="0.2">
      <c r="A116" s="57">
        <v>43074.086805555598</v>
      </c>
      <c r="B116">
        <v>21.1</v>
      </c>
      <c r="C116">
        <v>51.9</v>
      </c>
    </row>
    <row r="117" spans="1:3" x14ac:dyDescent="0.2">
      <c r="A117" s="57">
        <v>43074.090277777803</v>
      </c>
      <c r="B117">
        <v>21.2</v>
      </c>
      <c r="C117">
        <v>51.8</v>
      </c>
    </row>
    <row r="118" spans="1:3" x14ac:dyDescent="0.2">
      <c r="A118" s="57">
        <v>43074.09375</v>
      </c>
      <c r="B118">
        <v>21.2</v>
      </c>
      <c r="C118">
        <v>51.7</v>
      </c>
    </row>
    <row r="119" spans="1:3" x14ac:dyDescent="0.2">
      <c r="A119" s="57">
        <v>43074.097222222197</v>
      </c>
      <c r="B119">
        <v>21.2</v>
      </c>
      <c r="C119">
        <v>51.9</v>
      </c>
    </row>
    <row r="120" spans="1:3" x14ac:dyDescent="0.2">
      <c r="A120" s="57">
        <v>43074.100694444402</v>
      </c>
      <c r="B120">
        <v>21.2</v>
      </c>
      <c r="C120">
        <v>51.9</v>
      </c>
    </row>
    <row r="121" spans="1:3" x14ac:dyDescent="0.2">
      <c r="A121" s="57">
        <v>43074.104166666701</v>
      </c>
      <c r="B121">
        <v>21.2</v>
      </c>
      <c r="C121">
        <v>51.8</v>
      </c>
    </row>
    <row r="122" spans="1:3" x14ac:dyDescent="0.2">
      <c r="A122" s="57">
        <v>43074.107638888898</v>
      </c>
      <c r="B122">
        <v>21.1</v>
      </c>
      <c r="C122">
        <v>51.6</v>
      </c>
    </row>
    <row r="123" spans="1:3" x14ac:dyDescent="0.2">
      <c r="A123" s="57">
        <v>43074.111111111102</v>
      </c>
      <c r="B123">
        <v>21.2</v>
      </c>
      <c r="C123">
        <v>51.7</v>
      </c>
    </row>
    <row r="124" spans="1:3" x14ac:dyDescent="0.2">
      <c r="A124" s="57">
        <v>43074.114583333299</v>
      </c>
      <c r="B124">
        <v>21.2</v>
      </c>
      <c r="C124">
        <v>51.6</v>
      </c>
    </row>
    <row r="125" spans="1:3" x14ac:dyDescent="0.2">
      <c r="A125" s="57">
        <v>43074.118055555598</v>
      </c>
      <c r="B125">
        <v>21.1</v>
      </c>
      <c r="C125">
        <v>51.7</v>
      </c>
    </row>
    <row r="126" spans="1:3" x14ac:dyDescent="0.2">
      <c r="A126" s="57">
        <v>43074.121527777803</v>
      </c>
      <c r="B126">
        <v>21.1</v>
      </c>
      <c r="C126">
        <v>51.6</v>
      </c>
    </row>
    <row r="127" spans="1:3" x14ac:dyDescent="0.2">
      <c r="A127" s="57">
        <v>43074.125</v>
      </c>
      <c r="B127">
        <v>21.1</v>
      </c>
      <c r="C127">
        <v>51.6</v>
      </c>
    </row>
    <row r="128" spans="1:3" x14ac:dyDescent="0.2">
      <c r="A128" s="57">
        <v>43074.128472222197</v>
      </c>
      <c r="B128">
        <v>21.1</v>
      </c>
      <c r="C128">
        <v>51.6</v>
      </c>
    </row>
    <row r="129" spans="1:3" x14ac:dyDescent="0.2">
      <c r="A129" s="57">
        <v>43074.131944444402</v>
      </c>
      <c r="B129">
        <v>21.1</v>
      </c>
      <c r="C129">
        <v>51.3</v>
      </c>
    </row>
    <row r="130" spans="1:3" x14ac:dyDescent="0.2">
      <c r="A130" s="57">
        <v>43074.135416666701</v>
      </c>
      <c r="B130">
        <v>21.2</v>
      </c>
      <c r="C130">
        <v>51.1</v>
      </c>
    </row>
    <row r="131" spans="1:3" x14ac:dyDescent="0.2">
      <c r="A131" s="57">
        <v>43074.138888888898</v>
      </c>
      <c r="B131">
        <v>21.1</v>
      </c>
      <c r="C131">
        <v>51.3</v>
      </c>
    </row>
    <row r="132" spans="1:3" x14ac:dyDescent="0.2">
      <c r="A132" s="57">
        <v>43074.142361111102</v>
      </c>
      <c r="B132">
        <v>21.1</v>
      </c>
      <c r="C132">
        <v>51.6</v>
      </c>
    </row>
    <row r="133" spans="1:3" x14ac:dyDescent="0.2">
      <c r="A133" s="57">
        <v>43074.145833333299</v>
      </c>
      <c r="B133">
        <v>21.1</v>
      </c>
      <c r="C133">
        <v>51.7</v>
      </c>
    </row>
    <row r="134" spans="1:3" x14ac:dyDescent="0.2">
      <c r="A134" s="57">
        <v>43074.149305555598</v>
      </c>
      <c r="B134">
        <v>21.1</v>
      </c>
      <c r="C134">
        <v>51.6</v>
      </c>
    </row>
    <row r="135" spans="1:3" x14ac:dyDescent="0.2">
      <c r="A135" s="57">
        <v>43074.152777777803</v>
      </c>
      <c r="B135">
        <v>21.2</v>
      </c>
      <c r="C135">
        <v>51.5</v>
      </c>
    </row>
    <row r="136" spans="1:3" x14ac:dyDescent="0.2">
      <c r="A136" s="57">
        <v>43074.15625</v>
      </c>
      <c r="B136">
        <v>21.1</v>
      </c>
      <c r="C136">
        <v>51.3</v>
      </c>
    </row>
    <row r="137" spans="1:3" x14ac:dyDescent="0.2">
      <c r="A137" s="57">
        <v>43074.159722222197</v>
      </c>
      <c r="B137">
        <v>21.1</v>
      </c>
      <c r="C137">
        <v>51.2</v>
      </c>
    </row>
    <row r="138" spans="1:3" x14ac:dyDescent="0.2">
      <c r="A138" s="57">
        <v>43074.163194444402</v>
      </c>
      <c r="B138">
        <v>21.1</v>
      </c>
      <c r="C138">
        <v>51.2</v>
      </c>
    </row>
    <row r="139" spans="1:3" x14ac:dyDescent="0.2">
      <c r="A139" s="57">
        <v>43074.166666666701</v>
      </c>
      <c r="B139">
        <v>21.2</v>
      </c>
      <c r="C139">
        <v>51</v>
      </c>
    </row>
    <row r="140" spans="1:3" x14ac:dyDescent="0.2">
      <c r="A140" s="57">
        <v>43074.170138888898</v>
      </c>
      <c r="B140">
        <v>21.2</v>
      </c>
      <c r="C140">
        <v>51.1</v>
      </c>
    </row>
    <row r="141" spans="1:3" x14ac:dyDescent="0.2">
      <c r="A141" s="57">
        <v>43074.173611111102</v>
      </c>
      <c r="B141">
        <v>21.2</v>
      </c>
      <c r="C141">
        <v>51.4</v>
      </c>
    </row>
    <row r="142" spans="1:3" x14ac:dyDescent="0.2">
      <c r="A142" s="57">
        <v>43074.177083333299</v>
      </c>
      <c r="B142">
        <v>21.2</v>
      </c>
      <c r="C142">
        <v>51.6</v>
      </c>
    </row>
    <row r="143" spans="1:3" x14ac:dyDescent="0.2">
      <c r="A143" s="57">
        <v>43074.180555555598</v>
      </c>
      <c r="B143">
        <v>21.1</v>
      </c>
      <c r="C143">
        <v>51.5</v>
      </c>
    </row>
    <row r="144" spans="1:3" x14ac:dyDescent="0.2">
      <c r="A144" s="57">
        <v>43074.184027777803</v>
      </c>
      <c r="B144">
        <v>21.1</v>
      </c>
      <c r="C144">
        <v>51.8</v>
      </c>
    </row>
    <row r="145" spans="1:3" x14ac:dyDescent="0.2">
      <c r="A145" s="57">
        <v>43074.1875</v>
      </c>
      <c r="B145">
        <v>21.2</v>
      </c>
      <c r="C145">
        <v>51.7</v>
      </c>
    </row>
    <row r="146" spans="1:3" x14ac:dyDescent="0.2">
      <c r="A146" s="57">
        <v>43074.190972222197</v>
      </c>
      <c r="B146">
        <v>21.1</v>
      </c>
      <c r="C146">
        <v>52</v>
      </c>
    </row>
    <row r="147" spans="1:3" x14ac:dyDescent="0.2">
      <c r="A147" s="57">
        <v>43074.194444444402</v>
      </c>
      <c r="B147">
        <v>21.1</v>
      </c>
      <c r="C147">
        <v>51.9</v>
      </c>
    </row>
    <row r="148" spans="1:3" x14ac:dyDescent="0.2">
      <c r="A148" s="57">
        <v>43074.197916666701</v>
      </c>
      <c r="B148">
        <v>21.2</v>
      </c>
      <c r="C148">
        <v>52</v>
      </c>
    </row>
    <row r="149" spans="1:3" x14ac:dyDescent="0.2">
      <c r="A149" s="57">
        <v>43074.201388888898</v>
      </c>
      <c r="B149">
        <v>21.1</v>
      </c>
      <c r="C149">
        <v>52</v>
      </c>
    </row>
    <row r="150" spans="1:3" x14ac:dyDescent="0.2">
      <c r="A150" s="57">
        <v>43074.204861111102</v>
      </c>
      <c r="B150">
        <v>21.2</v>
      </c>
      <c r="C150">
        <v>51.8</v>
      </c>
    </row>
    <row r="151" spans="1:3" x14ac:dyDescent="0.2">
      <c r="A151" s="57">
        <v>43074.208333333299</v>
      </c>
      <c r="B151">
        <v>21.2</v>
      </c>
      <c r="C151">
        <v>51.8</v>
      </c>
    </row>
    <row r="152" spans="1:3" x14ac:dyDescent="0.2">
      <c r="A152" s="57">
        <v>43074.211805555598</v>
      </c>
      <c r="B152">
        <v>21.1</v>
      </c>
      <c r="C152">
        <v>51.9</v>
      </c>
    </row>
    <row r="153" spans="1:3" x14ac:dyDescent="0.2">
      <c r="A153" s="57">
        <v>43074.215277777803</v>
      </c>
      <c r="B153">
        <v>21.1</v>
      </c>
      <c r="C153">
        <v>51.8</v>
      </c>
    </row>
    <row r="154" spans="1:3" x14ac:dyDescent="0.2">
      <c r="A154" s="57">
        <v>43074.21875</v>
      </c>
      <c r="B154">
        <v>21.1</v>
      </c>
      <c r="C154">
        <v>51.6</v>
      </c>
    </row>
    <row r="155" spans="1:3" x14ac:dyDescent="0.2">
      <c r="A155" s="57">
        <v>43074.222222222197</v>
      </c>
      <c r="B155">
        <v>21.2</v>
      </c>
      <c r="C155">
        <v>51.7</v>
      </c>
    </row>
    <row r="156" spans="1:3" x14ac:dyDescent="0.2">
      <c r="A156" s="57">
        <v>43074.225694444402</v>
      </c>
      <c r="B156">
        <v>21.2</v>
      </c>
      <c r="C156">
        <v>51.8</v>
      </c>
    </row>
    <row r="157" spans="1:3" x14ac:dyDescent="0.2">
      <c r="A157" s="57">
        <v>43074.229166666701</v>
      </c>
      <c r="B157">
        <v>21.2</v>
      </c>
      <c r="C157">
        <v>51.7</v>
      </c>
    </row>
    <row r="158" spans="1:3" x14ac:dyDescent="0.2">
      <c r="A158" s="57">
        <v>43074.232638888898</v>
      </c>
      <c r="B158">
        <v>21.1</v>
      </c>
      <c r="C158">
        <v>51.8</v>
      </c>
    </row>
    <row r="159" spans="1:3" x14ac:dyDescent="0.2">
      <c r="A159" s="57">
        <v>43074.236111111102</v>
      </c>
      <c r="B159">
        <v>21.1</v>
      </c>
      <c r="C159">
        <v>51.5</v>
      </c>
    </row>
    <row r="160" spans="1:3" x14ac:dyDescent="0.2">
      <c r="A160" s="57">
        <v>43074.239583333299</v>
      </c>
      <c r="B160">
        <v>21.1</v>
      </c>
      <c r="C160">
        <v>51.4</v>
      </c>
    </row>
    <row r="161" spans="1:3" x14ac:dyDescent="0.2">
      <c r="A161" s="57">
        <v>43074.243055555598</v>
      </c>
      <c r="B161">
        <v>21.1</v>
      </c>
      <c r="C161">
        <v>51.5</v>
      </c>
    </row>
    <row r="162" spans="1:3" x14ac:dyDescent="0.2">
      <c r="A162" s="57">
        <v>43074.246527777803</v>
      </c>
      <c r="B162">
        <v>21.1</v>
      </c>
      <c r="C162">
        <v>51.4</v>
      </c>
    </row>
    <row r="163" spans="1:3" x14ac:dyDescent="0.2">
      <c r="A163" s="57">
        <v>43074.25</v>
      </c>
      <c r="B163">
        <v>21.1</v>
      </c>
      <c r="C163">
        <v>51.5</v>
      </c>
    </row>
    <row r="164" spans="1:3" x14ac:dyDescent="0.2">
      <c r="A164" s="57">
        <v>43074.253472222197</v>
      </c>
      <c r="B164">
        <v>21.1</v>
      </c>
      <c r="C164">
        <v>51.4</v>
      </c>
    </row>
    <row r="165" spans="1:3" x14ac:dyDescent="0.2">
      <c r="A165" s="57">
        <v>43074.256944444402</v>
      </c>
      <c r="B165">
        <v>21.2</v>
      </c>
      <c r="C165">
        <v>51.3</v>
      </c>
    </row>
    <row r="166" spans="1:3" x14ac:dyDescent="0.2">
      <c r="A166" s="57">
        <v>43074.260416666701</v>
      </c>
      <c r="B166">
        <v>21.2</v>
      </c>
      <c r="C166">
        <v>51.2</v>
      </c>
    </row>
    <row r="167" spans="1:3" x14ac:dyDescent="0.2">
      <c r="A167" s="57">
        <v>43074.263888888898</v>
      </c>
      <c r="B167">
        <v>21.2</v>
      </c>
      <c r="C167">
        <v>51.2</v>
      </c>
    </row>
    <row r="168" spans="1:3" x14ac:dyDescent="0.2">
      <c r="A168" s="57">
        <v>43074.267361111102</v>
      </c>
      <c r="B168">
        <v>21.2</v>
      </c>
      <c r="C168">
        <v>51.2</v>
      </c>
    </row>
    <row r="169" spans="1:3" x14ac:dyDescent="0.2">
      <c r="A169" s="57">
        <v>43074.270833333299</v>
      </c>
      <c r="B169">
        <v>21.2</v>
      </c>
      <c r="C169">
        <v>51.3</v>
      </c>
    </row>
    <row r="170" spans="1:3" x14ac:dyDescent="0.2">
      <c r="A170" s="57">
        <v>43074.274305555598</v>
      </c>
      <c r="B170">
        <v>21.1</v>
      </c>
      <c r="C170">
        <v>51.3</v>
      </c>
    </row>
    <row r="171" spans="1:3" x14ac:dyDescent="0.2">
      <c r="A171" s="57">
        <v>43074.277777777803</v>
      </c>
      <c r="B171">
        <v>21.2</v>
      </c>
      <c r="C171">
        <v>51.1</v>
      </c>
    </row>
    <row r="172" spans="1:3" x14ac:dyDescent="0.2">
      <c r="A172" s="57">
        <v>43074.28125</v>
      </c>
      <c r="B172">
        <v>21.2</v>
      </c>
      <c r="C172">
        <v>51.4</v>
      </c>
    </row>
    <row r="173" spans="1:3" x14ac:dyDescent="0.2">
      <c r="A173" s="57">
        <v>43074.284722222197</v>
      </c>
      <c r="B173">
        <v>21.2</v>
      </c>
      <c r="C173">
        <v>51.6</v>
      </c>
    </row>
    <row r="174" spans="1:3" x14ac:dyDescent="0.2">
      <c r="A174" s="57">
        <v>43074.288194444402</v>
      </c>
      <c r="B174">
        <v>21.1</v>
      </c>
      <c r="C174">
        <v>51.4</v>
      </c>
    </row>
    <row r="175" spans="1:3" x14ac:dyDescent="0.2">
      <c r="A175" s="57">
        <v>43074.291666666701</v>
      </c>
      <c r="B175">
        <v>21.2</v>
      </c>
      <c r="C175">
        <v>51.4</v>
      </c>
    </row>
    <row r="176" spans="1:3" x14ac:dyDescent="0.2">
      <c r="A176" s="57">
        <v>43074.295138888898</v>
      </c>
      <c r="B176">
        <v>21.1</v>
      </c>
      <c r="C176">
        <v>51.3</v>
      </c>
    </row>
    <row r="177" spans="1:3" x14ac:dyDescent="0.2">
      <c r="A177" s="57">
        <v>43074.298611111102</v>
      </c>
      <c r="B177">
        <v>21.2</v>
      </c>
      <c r="C177">
        <v>51.3</v>
      </c>
    </row>
    <row r="178" spans="1:3" x14ac:dyDescent="0.2">
      <c r="A178" s="57">
        <v>43074.302083333299</v>
      </c>
      <c r="B178">
        <v>21.2</v>
      </c>
      <c r="C178">
        <v>51.3</v>
      </c>
    </row>
    <row r="179" spans="1:3" x14ac:dyDescent="0.2">
      <c r="A179" s="57">
        <v>43074.305555555598</v>
      </c>
      <c r="B179">
        <v>21.1</v>
      </c>
      <c r="C179">
        <v>51.4</v>
      </c>
    </row>
    <row r="180" spans="1:3" x14ac:dyDescent="0.2">
      <c r="A180" s="57">
        <v>43074.309027777803</v>
      </c>
      <c r="B180">
        <v>21.1</v>
      </c>
      <c r="C180">
        <v>51.4</v>
      </c>
    </row>
    <row r="181" spans="1:3" x14ac:dyDescent="0.2">
      <c r="A181" s="57">
        <v>43074.3125</v>
      </c>
      <c r="B181">
        <v>21.1</v>
      </c>
      <c r="C181">
        <v>51.3</v>
      </c>
    </row>
    <row r="182" spans="1:3" x14ac:dyDescent="0.2">
      <c r="A182" s="57">
        <v>43074.315972222197</v>
      </c>
      <c r="B182">
        <v>21.1</v>
      </c>
      <c r="C182">
        <v>51.3</v>
      </c>
    </row>
    <row r="183" spans="1:3" x14ac:dyDescent="0.2">
      <c r="A183" s="57">
        <v>43074.319444444402</v>
      </c>
      <c r="B183">
        <v>21.1</v>
      </c>
      <c r="C183">
        <v>51.3</v>
      </c>
    </row>
    <row r="184" spans="1:3" x14ac:dyDescent="0.2">
      <c r="A184" s="57">
        <v>43074.322916666701</v>
      </c>
      <c r="B184">
        <v>21.1</v>
      </c>
      <c r="C184">
        <v>51.4</v>
      </c>
    </row>
    <row r="185" spans="1:3" x14ac:dyDescent="0.2">
      <c r="A185" s="57">
        <v>43074.326388888898</v>
      </c>
      <c r="B185">
        <v>21.2</v>
      </c>
      <c r="C185">
        <v>51.3</v>
      </c>
    </row>
    <row r="186" spans="1:3" x14ac:dyDescent="0.2">
      <c r="A186" s="57">
        <v>43074.329861111102</v>
      </c>
      <c r="B186">
        <v>21.1</v>
      </c>
      <c r="C186">
        <v>51.3</v>
      </c>
    </row>
    <row r="187" spans="1:3" x14ac:dyDescent="0.2">
      <c r="A187" s="57">
        <v>43074.333333333299</v>
      </c>
      <c r="B187">
        <v>21.1</v>
      </c>
      <c r="C187">
        <v>51.4</v>
      </c>
    </row>
    <row r="188" spans="1:3" x14ac:dyDescent="0.2">
      <c r="A188" s="57">
        <v>43074.336805555598</v>
      </c>
      <c r="B188">
        <v>21.1</v>
      </c>
      <c r="C188">
        <v>51.4</v>
      </c>
    </row>
    <row r="189" spans="1:3" x14ac:dyDescent="0.2">
      <c r="A189" s="57">
        <v>43074.340277777803</v>
      </c>
      <c r="B189">
        <v>21.1</v>
      </c>
      <c r="C189">
        <v>51.4</v>
      </c>
    </row>
    <row r="190" spans="1:3" x14ac:dyDescent="0.2">
      <c r="A190" s="57">
        <v>43074.34375</v>
      </c>
      <c r="B190">
        <v>21.2</v>
      </c>
      <c r="C190">
        <v>51.5</v>
      </c>
    </row>
    <row r="191" spans="1:3" x14ac:dyDescent="0.2">
      <c r="A191" s="57">
        <v>43074.347222222197</v>
      </c>
      <c r="B191">
        <v>21.2</v>
      </c>
      <c r="C191">
        <v>51.6</v>
      </c>
    </row>
    <row r="192" spans="1:3" x14ac:dyDescent="0.2">
      <c r="A192" s="57">
        <v>43074.350694444402</v>
      </c>
      <c r="B192">
        <v>21</v>
      </c>
      <c r="C192">
        <v>51.8</v>
      </c>
    </row>
    <row r="193" spans="1:3" x14ac:dyDescent="0.2">
      <c r="A193" s="57">
        <v>43074.354166666701</v>
      </c>
      <c r="B193">
        <v>21</v>
      </c>
      <c r="C193">
        <v>51.8</v>
      </c>
    </row>
    <row r="194" spans="1:3" x14ac:dyDescent="0.2">
      <c r="A194" s="57">
        <v>43074.357638888898</v>
      </c>
      <c r="B194">
        <v>21</v>
      </c>
      <c r="C194">
        <v>51.8</v>
      </c>
    </row>
    <row r="195" spans="1:3" x14ac:dyDescent="0.2">
      <c r="A195" s="57">
        <v>43074.361111111102</v>
      </c>
      <c r="B195">
        <v>21.1</v>
      </c>
      <c r="C195">
        <v>51.6</v>
      </c>
    </row>
    <row r="196" spans="1:3" x14ac:dyDescent="0.2">
      <c r="A196" s="57">
        <v>43074.364583333299</v>
      </c>
      <c r="B196">
        <v>21</v>
      </c>
      <c r="C196">
        <v>51.8</v>
      </c>
    </row>
    <row r="197" spans="1:3" x14ac:dyDescent="0.2">
      <c r="A197" s="57">
        <v>43074.368055555598</v>
      </c>
      <c r="B197">
        <v>21</v>
      </c>
      <c r="C197">
        <v>51.7</v>
      </c>
    </row>
    <row r="198" spans="1:3" x14ac:dyDescent="0.2">
      <c r="A198" s="57">
        <v>43074.371527777803</v>
      </c>
      <c r="B198">
        <v>21</v>
      </c>
      <c r="C198">
        <v>51.9</v>
      </c>
    </row>
    <row r="199" spans="1:3" x14ac:dyDescent="0.2">
      <c r="A199" s="57">
        <v>43074.375</v>
      </c>
      <c r="B199">
        <v>21.1</v>
      </c>
      <c r="C199">
        <v>52.1</v>
      </c>
    </row>
    <row r="200" spans="1:3" x14ac:dyDescent="0.2">
      <c r="A200" s="57">
        <v>43074.378472222197</v>
      </c>
      <c r="B200">
        <v>21</v>
      </c>
      <c r="C200">
        <v>52.2</v>
      </c>
    </row>
    <row r="201" spans="1:3" x14ac:dyDescent="0.2">
      <c r="A201" s="57">
        <v>43074.381944444402</v>
      </c>
      <c r="B201">
        <v>21</v>
      </c>
      <c r="C201">
        <v>52.1</v>
      </c>
    </row>
    <row r="202" spans="1:3" x14ac:dyDescent="0.2">
      <c r="A202" s="57">
        <v>43074.385416666701</v>
      </c>
      <c r="B202">
        <v>21</v>
      </c>
      <c r="C202">
        <v>52</v>
      </c>
    </row>
    <row r="203" spans="1:3" x14ac:dyDescent="0.2">
      <c r="A203" s="57">
        <v>43074.388888888898</v>
      </c>
      <c r="B203">
        <v>21</v>
      </c>
      <c r="C203">
        <v>52</v>
      </c>
    </row>
    <row r="204" spans="1:3" x14ac:dyDescent="0.2">
      <c r="A204" s="57">
        <v>43074.392361111102</v>
      </c>
      <c r="B204">
        <v>21</v>
      </c>
      <c r="C204">
        <v>52.1</v>
      </c>
    </row>
    <row r="205" spans="1:3" x14ac:dyDescent="0.2">
      <c r="A205" s="57">
        <v>43074.395833333299</v>
      </c>
      <c r="B205">
        <v>21</v>
      </c>
      <c r="C205">
        <v>52.1</v>
      </c>
    </row>
    <row r="206" spans="1:3" x14ac:dyDescent="0.2">
      <c r="A206" s="57">
        <v>43074.399305555598</v>
      </c>
      <c r="B206">
        <v>21</v>
      </c>
      <c r="C206">
        <v>52.3</v>
      </c>
    </row>
    <row r="207" spans="1:3" x14ac:dyDescent="0.2">
      <c r="A207" s="57">
        <v>43074.402777777803</v>
      </c>
      <c r="B207">
        <v>20.9</v>
      </c>
      <c r="C207">
        <v>52</v>
      </c>
    </row>
    <row r="208" spans="1:3" x14ac:dyDescent="0.2">
      <c r="A208" s="57">
        <v>43074.40625</v>
      </c>
      <c r="B208">
        <v>21</v>
      </c>
      <c r="C208">
        <v>52</v>
      </c>
    </row>
    <row r="209" spans="1:3" x14ac:dyDescent="0.2">
      <c r="A209" s="57">
        <v>43074.409722222197</v>
      </c>
      <c r="B209">
        <v>20.9</v>
      </c>
      <c r="C209">
        <v>51.8</v>
      </c>
    </row>
    <row r="210" spans="1:3" x14ac:dyDescent="0.2">
      <c r="A210" s="57">
        <v>43074.413194444402</v>
      </c>
      <c r="B210">
        <v>21</v>
      </c>
      <c r="C210">
        <v>51.6</v>
      </c>
    </row>
    <row r="211" spans="1:3" x14ac:dyDescent="0.2">
      <c r="A211" s="57">
        <v>43074.416666666701</v>
      </c>
      <c r="B211">
        <v>20.9</v>
      </c>
      <c r="C211">
        <v>51.7</v>
      </c>
    </row>
    <row r="212" spans="1:3" x14ac:dyDescent="0.2">
      <c r="A212" s="57">
        <v>43074.420138888898</v>
      </c>
      <c r="B212">
        <v>21</v>
      </c>
      <c r="C212">
        <v>51.8</v>
      </c>
    </row>
    <row r="213" spans="1:3" x14ac:dyDescent="0.2">
      <c r="A213" s="57">
        <v>43074.423611111102</v>
      </c>
      <c r="B213">
        <v>21</v>
      </c>
      <c r="C213">
        <v>51.7</v>
      </c>
    </row>
    <row r="214" spans="1:3" x14ac:dyDescent="0.2">
      <c r="A214" s="57">
        <v>43074.427083333299</v>
      </c>
      <c r="B214">
        <v>20.9</v>
      </c>
      <c r="C214">
        <v>51.9</v>
      </c>
    </row>
    <row r="215" spans="1:3" x14ac:dyDescent="0.2">
      <c r="A215" s="57">
        <v>43074.430555555598</v>
      </c>
      <c r="B215">
        <v>20.9</v>
      </c>
      <c r="C215">
        <v>51.9</v>
      </c>
    </row>
    <row r="216" spans="1:3" x14ac:dyDescent="0.2">
      <c r="A216" s="57">
        <v>43074.434027777803</v>
      </c>
      <c r="B216">
        <v>20.9</v>
      </c>
      <c r="C216">
        <v>51.7</v>
      </c>
    </row>
    <row r="217" spans="1:3" x14ac:dyDescent="0.2">
      <c r="A217" s="57">
        <v>43074.4375</v>
      </c>
      <c r="B217">
        <v>20.8</v>
      </c>
      <c r="C217">
        <v>51.9</v>
      </c>
    </row>
    <row r="218" spans="1:3" x14ac:dyDescent="0.2">
      <c r="A218" s="57">
        <v>43074.440972222197</v>
      </c>
      <c r="B218">
        <v>20.9</v>
      </c>
      <c r="C218">
        <v>51.9</v>
      </c>
    </row>
    <row r="219" spans="1:3" x14ac:dyDescent="0.2">
      <c r="A219" s="57">
        <v>43074.444444444402</v>
      </c>
      <c r="B219">
        <v>20.9</v>
      </c>
      <c r="C219">
        <v>52.3</v>
      </c>
    </row>
    <row r="220" spans="1:3" x14ac:dyDescent="0.2">
      <c r="A220" s="57">
        <v>43074.447916666701</v>
      </c>
      <c r="B220">
        <v>20.9</v>
      </c>
      <c r="C220">
        <v>52.2</v>
      </c>
    </row>
    <row r="221" spans="1:3" x14ac:dyDescent="0.2">
      <c r="A221" s="57">
        <v>43074.451388888898</v>
      </c>
      <c r="B221">
        <v>20.8</v>
      </c>
      <c r="C221">
        <v>52.4</v>
      </c>
    </row>
    <row r="222" spans="1:3" x14ac:dyDescent="0.2">
      <c r="A222" s="57">
        <v>43074.454861111102</v>
      </c>
      <c r="B222">
        <v>20.8</v>
      </c>
      <c r="C222">
        <v>52.8</v>
      </c>
    </row>
    <row r="223" spans="1:3" x14ac:dyDescent="0.2">
      <c r="A223" s="57">
        <v>43074.458333333299</v>
      </c>
      <c r="B223">
        <v>20.9</v>
      </c>
      <c r="C223">
        <v>52.4</v>
      </c>
    </row>
    <row r="224" spans="1:3" x14ac:dyDescent="0.2">
      <c r="A224" s="57">
        <v>43074.461805555598</v>
      </c>
      <c r="B224">
        <v>20.8</v>
      </c>
      <c r="C224">
        <v>52.5</v>
      </c>
    </row>
    <row r="225" spans="1:3" x14ac:dyDescent="0.2">
      <c r="A225" s="57">
        <v>43074.465277777803</v>
      </c>
      <c r="B225">
        <v>20.9</v>
      </c>
      <c r="C225">
        <v>52.8</v>
      </c>
    </row>
    <row r="226" spans="1:3" x14ac:dyDescent="0.2">
      <c r="A226" s="57">
        <v>43074.46875</v>
      </c>
      <c r="B226">
        <v>20.8</v>
      </c>
      <c r="C226">
        <v>52.6</v>
      </c>
    </row>
    <row r="227" spans="1:3" x14ac:dyDescent="0.2">
      <c r="A227" s="57">
        <v>43074.472222222197</v>
      </c>
      <c r="B227">
        <v>20.8</v>
      </c>
      <c r="C227">
        <v>52.7</v>
      </c>
    </row>
    <row r="228" spans="1:3" x14ac:dyDescent="0.2">
      <c r="A228" s="57">
        <v>43074.475694444402</v>
      </c>
      <c r="B228">
        <v>20.8</v>
      </c>
      <c r="C228">
        <v>52.2</v>
      </c>
    </row>
    <row r="229" spans="1:3" x14ac:dyDescent="0.2">
      <c r="A229" s="57">
        <v>43074.479166666701</v>
      </c>
      <c r="B229">
        <v>20.8</v>
      </c>
      <c r="C229">
        <v>52.5</v>
      </c>
    </row>
    <row r="230" spans="1:3" x14ac:dyDescent="0.2">
      <c r="A230" s="57">
        <v>43074.482638888898</v>
      </c>
      <c r="B230">
        <v>20.8</v>
      </c>
      <c r="C230">
        <v>52.4</v>
      </c>
    </row>
    <row r="231" spans="1:3" x14ac:dyDescent="0.2">
      <c r="A231" s="57">
        <v>43074.486111111102</v>
      </c>
      <c r="B231">
        <v>20.8</v>
      </c>
      <c r="C231">
        <v>52.4</v>
      </c>
    </row>
    <row r="232" spans="1:3" x14ac:dyDescent="0.2">
      <c r="A232" s="57">
        <v>43074.489583333299</v>
      </c>
      <c r="B232">
        <v>20.8</v>
      </c>
      <c r="C232">
        <v>52.9</v>
      </c>
    </row>
    <row r="233" spans="1:3" x14ac:dyDescent="0.2">
      <c r="A233" s="57">
        <v>43074.493055555598</v>
      </c>
      <c r="B233">
        <v>20.8</v>
      </c>
      <c r="C233">
        <v>52.7</v>
      </c>
    </row>
    <row r="234" spans="1:3" x14ac:dyDescent="0.2">
      <c r="A234" s="57">
        <v>43074.496527777803</v>
      </c>
      <c r="B234">
        <v>20.8</v>
      </c>
      <c r="C234">
        <v>52.7</v>
      </c>
    </row>
    <row r="235" spans="1:3" x14ac:dyDescent="0.2">
      <c r="A235" s="57">
        <v>43074.5</v>
      </c>
      <c r="B235">
        <v>20.8</v>
      </c>
      <c r="C235">
        <v>52.9</v>
      </c>
    </row>
    <row r="236" spans="1:3" x14ac:dyDescent="0.2">
      <c r="A236" s="57">
        <v>43074.503472222197</v>
      </c>
      <c r="B236">
        <v>20.9</v>
      </c>
      <c r="C236">
        <v>52.9</v>
      </c>
    </row>
    <row r="237" spans="1:3" x14ac:dyDescent="0.2">
      <c r="A237" s="57">
        <v>43074.506944444402</v>
      </c>
      <c r="B237">
        <v>20.9</v>
      </c>
      <c r="C237">
        <v>53.1</v>
      </c>
    </row>
    <row r="238" spans="1:3" x14ac:dyDescent="0.2">
      <c r="A238" s="57">
        <v>43074.510416666701</v>
      </c>
      <c r="B238">
        <v>20.9</v>
      </c>
      <c r="C238">
        <v>52.8</v>
      </c>
    </row>
    <row r="239" spans="1:3" x14ac:dyDescent="0.2">
      <c r="A239" s="57">
        <v>43074.513888888898</v>
      </c>
      <c r="B239">
        <v>20.9</v>
      </c>
      <c r="C239">
        <v>52.9</v>
      </c>
    </row>
    <row r="240" spans="1:3" x14ac:dyDescent="0.2">
      <c r="A240" s="57">
        <v>43074.517361111102</v>
      </c>
      <c r="B240">
        <v>20.9</v>
      </c>
      <c r="C240">
        <v>53.5</v>
      </c>
    </row>
    <row r="241" spans="1:3" x14ac:dyDescent="0.2">
      <c r="A241" s="57">
        <v>43074.520833333299</v>
      </c>
      <c r="B241">
        <v>20.9</v>
      </c>
      <c r="C241">
        <v>53.2</v>
      </c>
    </row>
    <row r="242" spans="1:3" x14ac:dyDescent="0.2">
      <c r="A242" s="57">
        <v>43074.524305555598</v>
      </c>
      <c r="B242">
        <v>20.9</v>
      </c>
      <c r="C242">
        <v>53.2</v>
      </c>
    </row>
    <row r="243" spans="1:3" x14ac:dyDescent="0.2">
      <c r="A243" s="57">
        <v>43074.527777777803</v>
      </c>
      <c r="B243">
        <v>20.8</v>
      </c>
      <c r="C243">
        <v>53.4</v>
      </c>
    </row>
    <row r="244" spans="1:3" x14ac:dyDescent="0.2">
      <c r="A244" s="57">
        <v>43074.53125</v>
      </c>
      <c r="B244">
        <v>20.8</v>
      </c>
      <c r="C244">
        <v>53.2</v>
      </c>
    </row>
    <row r="245" spans="1:3" x14ac:dyDescent="0.2">
      <c r="A245" s="57">
        <v>43074.534722222197</v>
      </c>
      <c r="B245">
        <v>20.9</v>
      </c>
      <c r="C245">
        <v>53.7</v>
      </c>
    </row>
    <row r="246" spans="1:3" x14ac:dyDescent="0.2">
      <c r="A246" s="57">
        <v>43074.538194444402</v>
      </c>
      <c r="B246">
        <v>20.9</v>
      </c>
      <c r="C246">
        <v>53.7</v>
      </c>
    </row>
    <row r="247" spans="1:3" x14ac:dyDescent="0.2">
      <c r="A247" s="57">
        <v>43074.541666666701</v>
      </c>
      <c r="B247">
        <v>20.9</v>
      </c>
      <c r="C247">
        <v>53.2</v>
      </c>
    </row>
    <row r="248" spans="1:3" x14ac:dyDescent="0.2">
      <c r="A248" s="57">
        <v>43074.545138888898</v>
      </c>
      <c r="B248">
        <v>21</v>
      </c>
      <c r="C248">
        <v>53.4</v>
      </c>
    </row>
    <row r="249" spans="1:3" x14ac:dyDescent="0.2">
      <c r="A249" s="57">
        <v>43074.548611111102</v>
      </c>
      <c r="B249">
        <v>20.9</v>
      </c>
      <c r="C249">
        <v>53.8</v>
      </c>
    </row>
    <row r="250" spans="1:3" x14ac:dyDescent="0.2">
      <c r="A250" s="57">
        <v>43074.552083333299</v>
      </c>
      <c r="B250">
        <v>20.8</v>
      </c>
      <c r="C250">
        <v>54.1</v>
      </c>
    </row>
    <row r="251" spans="1:3" x14ac:dyDescent="0.2">
      <c r="A251" s="57">
        <v>43074.555555555598</v>
      </c>
      <c r="B251">
        <v>20.8</v>
      </c>
      <c r="C251">
        <v>54</v>
      </c>
    </row>
    <row r="252" spans="1:3" x14ac:dyDescent="0.2">
      <c r="A252" s="57">
        <v>43074.559027777803</v>
      </c>
      <c r="B252">
        <v>20.8</v>
      </c>
      <c r="C252">
        <v>54</v>
      </c>
    </row>
    <row r="253" spans="1:3" x14ac:dyDescent="0.2">
      <c r="A253" s="57">
        <v>43074.5625</v>
      </c>
      <c r="B253">
        <v>20.8</v>
      </c>
      <c r="C253">
        <v>54.2</v>
      </c>
    </row>
    <row r="254" spans="1:3" x14ac:dyDescent="0.2">
      <c r="A254" s="57">
        <v>43074.565972222197</v>
      </c>
      <c r="B254">
        <v>20.8</v>
      </c>
      <c r="C254">
        <v>54.2</v>
      </c>
    </row>
    <row r="255" spans="1:3" x14ac:dyDescent="0.2">
      <c r="A255" s="57">
        <v>43074.569444444402</v>
      </c>
      <c r="B255">
        <v>20.8</v>
      </c>
      <c r="C255">
        <v>54.5</v>
      </c>
    </row>
    <row r="256" spans="1:3" x14ac:dyDescent="0.2">
      <c r="A256" s="57">
        <v>43074.572916666701</v>
      </c>
      <c r="B256">
        <v>20.8</v>
      </c>
      <c r="C256">
        <v>54.5</v>
      </c>
    </row>
    <row r="257" spans="1:3" x14ac:dyDescent="0.2">
      <c r="A257" s="57">
        <v>43074.576388888898</v>
      </c>
      <c r="B257">
        <v>20.8</v>
      </c>
      <c r="C257">
        <v>54.4</v>
      </c>
    </row>
    <row r="258" spans="1:3" x14ac:dyDescent="0.2">
      <c r="A258" s="57">
        <v>43074.579861111102</v>
      </c>
      <c r="B258">
        <v>20.8</v>
      </c>
      <c r="C258">
        <v>54.6</v>
      </c>
    </row>
    <row r="259" spans="1:3" x14ac:dyDescent="0.2">
      <c r="A259" s="57">
        <v>43074.583333333299</v>
      </c>
      <c r="B259">
        <v>20.7</v>
      </c>
      <c r="C259">
        <v>54.7</v>
      </c>
    </row>
    <row r="260" spans="1:3" x14ac:dyDescent="0.2">
      <c r="A260" s="57">
        <v>43074.586805555598</v>
      </c>
      <c r="B260">
        <v>20.8</v>
      </c>
      <c r="C260">
        <v>54.9</v>
      </c>
    </row>
    <row r="261" spans="1:3" x14ac:dyDescent="0.2">
      <c r="A261" s="57">
        <v>43074.590277777803</v>
      </c>
      <c r="B261">
        <v>20.8</v>
      </c>
      <c r="C261">
        <v>54.9</v>
      </c>
    </row>
    <row r="262" spans="1:3" x14ac:dyDescent="0.2">
      <c r="A262" s="57">
        <v>43074.59375</v>
      </c>
      <c r="B262">
        <v>20.7</v>
      </c>
      <c r="C262">
        <v>55.1</v>
      </c>
    </row>
    <row r="263" spans="1:3" x14ac:dyDescent="0.2">
      <c r="A263" s="57">
        <v>43074.597222222197</v>
      </c>
      <c r="B263">
        <v>20.7</v>
      </c>
      <c r="C263">
        <v>55.6</v>
      </c>
    </row>
    <row r="264" spans="1:3" x14ac:dyDescent="0.2">
      <c r="A264" s="57">
        <v>43074.600694444402</v>
      </c>
      <c r="B264">
        <v>20.7</v>
      </c>
      <c r="C264">
        <v>55.2</v>
      </c>
    </row>
    <row r="265" spans="1:3" x14ac:dyDescent="0.2">
      <c r="A265" s="57">
        <v>43074.604166666701</v>
      </c>
      <c r="B265">
        <v>20.8</v>
      </c>
      <c r="C265">
        <v>55.3</v>
      </c>
    </row>
    <row r="266" spans="1:3" x14ac:dyDescent="0.2">
      <c r="A266" s="57">
        <v>43074.607638888898</v>
      </c>
      <c r="B266">
        <v>20.8</v>
      </c>
      <c r="C266">
        <v>54.6</v>
      </c>
    </row>
    <row r="267" spans="1:3" x14ac:dyDescent="0.2">
      <c r="A267" s="57">
        <v>43074.611111111102</v>
      </c>
      <c r="B267">
        <v>20.7</v>
      </c>
      <c r="C267">
        <v>54.8</v>
      </c>
    </row>
    <row r="268" spans="1:3" x14ac:dyDescent="0.2">
      <c r="A268" s="57">
        <v>43074.614583333299</v>
      </c>
      <c r="B268">
        <v>20.7</v>
      </c>
      <c r="C268">
        <v>54.9</v>
      </c>
    </row>
    <row r="269" spans="1:3" x14ac:dyDescent="0.2">
      <c r="A269" s="57">
        <v>43074.618055555598</v>
      </c>
      <c r="B269">
        <v>20.7</v>
      </c>
      <c r="C269">
        <v>54.7</v>
      </c>
    </row>
    <row r="270" spans="1:3" x14ac:dyDescent="0.2">
      <c r="A270" s="57">
        <v>43074.621527777803</v>
      </c>
      <c r="B270">
        <v>20.7</v>
      </c>
      <c r="C270">
        <v>54.8</v>
      </c>
    </row>
    <row r="271" spans="1:3" x14ac:dyDescent="0.2">
      <c r="A271" s="57">
        <v>43074.625</v>
      </c>
      <c r="B271">
        <v>20.8</v>
      </c>
      <c r="C271">
        <v>54.7</v>
      </c>
    </row>
    <row r="272" spans="1:3" x14ac:dyDescent="0.2">
      <c r="A272" s="57">
        <v>43074.628472222197</v>
      </c>
      <c r="B272">
        <v>20.8</v>
      </c>
      <c r="C272">
        <v>54.4</v>
      </c>
    </row>
    <row r="273" spans="1:3" x14ac:dyDescent="0.2">
      <c r="A273" s="57">
        <v>43074.631944444402</v>
      </c>
      <c r="B273">
        <v>20.7</v>
      </c>
      <c r="C273">
        <v>54.5</v>
      </c>
    </row>
    <row r="274" spans="1:3" x14ac:dyDescent="0.2">
      <c r="A274" s="57">
        <v>43074.635416666701</v>
      </c>
      <c r="B274">
        <v>20.8</v>
      </c>
      <c r="C274">
        <v>54.6</v>
      </c>
    </row>
    <row r="275" spans="1:3" x14ac:dyDescent="0.2">
      <c r="A275" s="57">
        <v>43074.638888888898</v>
      </c>
      <c r="B275">
        <v>20.8</v>
      </c>
      <c r="C275">
        <v>54.6</v>
      </c>
    </row>
    <row r="276" spans="1:3" x14ac:dyDescent="0.2">
      <c r="A276" s="57">
        <v>43074.642361111102</v>
      </c>
      <c r="B276">
        <v>20.8</v>
      </c>
      <c r="C276">
        <v>54.2</v>
      </c>
    </row>
    <row r="277" spans="1:3" x14ac:dyDescent="0.2">
      <c r="A277" s="57">
        <v>43074.645833333299</v>
      </c>
      <c r="B277">
        <v>20.8</v>
      </c>
      <c r="C277">
        <v>54.8</v>
      </c>
    </row>
    <row r="278" spans="1:3" x14ac:dyDescent="0.2">
      <c r="A278" s="57">
        <v>43074.649305555598</v>
      </c>
      <c r="B278">
        <v>20.8</v>
      </c>
      <c r="C278">
        <v>54.2</v>
      </c>
    </row>
    <row r="279" spans="1:3" x14ac:dyDescent="0.2">
      <c r="A279" s="57">
        <v>43074.652777777803</v>
      </c>
      <c r="B279">
        <v>20.7</v>
      </c>
      <c r="C279">
        <v>54</v>
      </c>
    </row>
    <row r="280" spans="1:3" x14ac:dyDescent="0.2">
      <c r="A280" s="57">
        <v>43074.65625</v>
      </c>
      <c r="B280">
        <v>20.7</v>
      </c>
      <c r="C280">
        <v>54.8</v>
      </c>
    </row>
    <row r="281" spans="1:3" x14ac:dyDescent="0.2">
      <c r="A281" s="57">
        <v>43074.659722222197</v>
      </c>
      <c r="B281">
        <v>20.7</v>
      </c>
      <c r="C281">
        <v>54.3</v>
      </c>
    </row>
    <row r="282" spans="1:3" x14ac:dyDescent="0.2">
      <c r="A282" s="57">
        <v>43074.663194444402</v>
      </c>
      <c r="B282">
        <v>20.7</v>
      </c>
      <c r="C282">
        <v>53.8</v>
      </c>
    </row>
    <row r="283" spans="1:3" x14ac:dyDescent="0.2">
      <c r="A283" s="57">
        <v>43074.666666666701</v>
      </c>
      <c r="B283">
        <v>20.7</v>
      </c>
      <c r="C283">
        <v>53.8</v>
      </c>
    </row>
    <row r="284" spans="1:3" x14ac:dyDescent="0.2">
      <c r="A284" s="57">
        <v>43074.670138888898</v>
      </c>
      <c r="B284">
        <v>20.6</v>
      </c>
      <c r="C284">
        <v>54.6</v>
      </c>
    </row>
    <row r="285" spans="1:3" x14ac:dyDescent="0.2">
      <c r="A285" s="57">
        <v>43074.673611111102</v>
      </c>
      <c r="B285">
        <v>20.6</v>
      </c>
      <c r="C285">
        <v>54</v>
      </c>
    </row>
    <row r="286" spans="1:3" x14ac:dyDescent="0.2">
      <c r="A286" s="57">
        <v>43074.677083333299</v>
      </c>
      <c r="B286">
        <v>20.7</v>
      </c>
      <c r="C286">
        <v>54.2</v>
      </c>
    </row>
    <row r="287" spans="1:3" x14ac:dyDescent="0.2">
      <c r="A287" s="57">
        <v>43074.680555555598</v>
      </c>
      <c r="B287">
        <v>20.7</v>
      </c>
      <c r="C287">
        <v>54.4</v>
      </c>
    </row>
    <row r="288" spans="1:3" x14ac:dyDescent="0.2">
      <c r="A288" s="57">
        <v>43074.684027777803</v>
      </c>
      <c r="B288">
        <v>20.6</v>
      </c>
      <c r="C288">
        <v>54.3</v>
      </c>
    </row>
    <row r="289" spans="1:3" x14ac:dyDescent="0.2">
      <c r="A289" s="57">
        <v>43074.6875</v>
      </c>
      <c r="B289">
        <v>20.7</v>
      </c>
      <c r="C289">
        <v>54.2</v>
      </c>
    </row>
    <row r="290" spans="1:3" x14ac:dyDescent="0.2">
      <c r="A290" s="57">
        <v>43074.690972222197</v>
      </c>
      <c r="B290">
        <v>20.7</v>
      </c>
      <c r="C290">
        <v>54.1</v>
      </c>
    </row>
    <row r="291" spans="1:3" x14ac:dyDescent="0.2">
      <c r="A291" s="57">
        <v>43074.694444444402</v>
      </c>
      <c r="B291">
        <v>20.7</v>
      </c>
      <c r="C291">
        <v>53.7</v>
      </c>
    </row>
    <row r="292" spans="1:3" x14ac:dyDescent="0.2">
      <c r="A292" s="57">
        <v>43074.697916666701</v>
      </c>
      <c r="B292">
        <v>20.7</v>
      </c>
      <c r="C292">
        <v>53.9</v>
      </c>
    </row>
    <row r="293" spans="1:3" x14ac:dyDescent="0.2">
      <c r="A293" s="57"/>
    </row>
    <row r="294" spans="1:3" x14ac:dyDescent="0.2">
      <c r="A294" s="57"/>
    </row>
    <row r="295" spans="1:3" x14ac:dyDescent="0.2">
      <c r="A295" s="57"/>
    </row>
    <row r="296" spans="1:3" x14ac:dyDescent="0.2">
      <c r="A296" s="57"/>
    </row>
    <row r="297" spans="1:3" x14ac:dyDescent="0.2">
      <c r="A297" s="57"/>
    </row>
    <row r="298" spans="1:3" x14ac:dyDescent="0.2">
      <c r="A298" s="57"/>
    </row>
    <row r="299" spans="1:3" x14ac:dyDescent="0.2">
      <c r="A299" s="57"/>
    </row>
    <row r="300" spans="1:3" x14ac:dyDescent="0.2">
      <c r="A300" s="57"/>
    </row>
    <row r="301" spans="1:3" x14ac:dyDescent="0.2">
      <c r="A301" s="57"/>
    </row>
    <row r="302" spans="1:3" x14ac:dyDescent="0.2">
      <c r="A302" s="57"/>
    </row>
    <row r="303" spans="1:3" x14ac:dyDescent="0.2">
      <c r="A303" s="57"/>
    </row>
    <row r="304" spans="1:3" x14ac:dyDescent="0.2">
      <c r="A304" s="57"/>
    </row>
    <row r="305" spans="1:1" x14ac:dyDescent="0.2">
      <c r="A305" s="57"/>
    </row>
    <row r="306" spans="1:1" x14ac:dyDescent="0.2">
      <c r="A306" s="57"/>
    </row>
    <row r="307" spans="1:1" x14ac:dyDescent="0.2">
      <c r="A307" s="57"/>
    </row>
    <row r="308" spans="1:1" x14ac:dyDescent="0.2">
      <c r="A308" s="57"/>
    </row>
    <row r="309" spans="1:1" x14ac:dyDescent="0.2">
      <c r="A309" s="57"/>
    </row>
    <row r="310" spans="1:1" x14ac:dyDescent="0.2">
      <c r="A310" s="57"/>
    </row>
    <row r="311" spans="1:1" x14ac:dyDescent="0.2">
      <c r="A311" s="57"/>
    </row>
    <row r="312" spans="1:1" x14ac:dyDescent="0.2">
      <c r="A312" s="57"/>
    </row>
    <row r="313" spans="1:1" x14ac:dyDescent="0.2">
      <c r="A313" s="57"/>
    </row>
    <row r="314" spans="1:1" x14ac:dyDescent="0.2">
      <c r="A314" s="57"/>
    </row>
    <row r="315" spans="1:1" x14ac:dyDescent="0.2">
      <c r="A315" s="57"/>
    </row>
    <row r="316" spans="1:1" x14ac:dyDescent="0.2">
      <c r="A316" s="57"/>
    </row>
    <row r="317" spans="1:1" x14ac:dyDescent="0.2">
      <c r="A317" s="57"/>
    </row>
    <row r="318" spans="1:1" x14ac:dyDescent="0.2">
      <c r="A318" s="57"/>
    </row>
    <row r="319" spans="1:1" x14ac:dyDescent="0.2">
      <c r="A319" s="57"/>
    </row>
    <row r="320" spans="1:1" x14ac:dyDescent="0.2">
      <c r="A320" s="57"/>
    </row>
    <row r="321" spans="1:1" x14ac:dyDescent="0.2">
      <c r="A321" s="57"/>
    </row>
    <row r="322" spans="1:1" x14ac:dyDescent="0.2">
      <c r="A322" s="57"/>
    </row>
    <row r="323" spans="1:1" x14ac:dyDescent="0.2">
      <c r="A323" s="57"/>
    </row>
    <row r="324" spans="1:1" x14ac:dyDescent="0.2">
      <c r="A324" s="57"/>
    </row>
    <row r="325" spans="1:1" x14ac:dyDescent="0.2">
      <c r="A325" s="57"/>
    </row>
    <row r="326" spans="1:1" x14ac:dyDescent="0.2">
      <c r="A326" s="57"/>
    </row>
    <row r="327" spans="1:1" x14ac:dyDescent="0.2">
      <c r="A327" s="57"/>
    </row>
    <row r="328" spans="1:1" x14ac:dyDescent="0.2">
      <c r="A328" s="57"/>
    </row>
    <row r="329" spans="1:1" x14ac:dyDescent="0.2">
      <c r="A329" s="57"/>
    </row>
    <row r="330" spans="1:1" x14ac:dyDescent="0.2">
      <c r="A330" s="57"/>
    </row>
    <row r="331" spans="1:1" x14ac:dyDescent="0.2">
      <c r="A331" s="57"/>
    </row>
    <row r="332" spans="1:1" x14ac:dyDescent="0.2">
      <c r="A332" s="57"/>
    </row>
    <row r="333" spans="1:1" x14ac:dyDescent="0.2">
      <c r="A333" s="57"/>
    </row>
    <row r="334" spans="1:1" x14ac:dyDescent="0.2">
      <c r="A334" s="57"/>
    </row>
    <row r="335" spans="1:1" x14ac:dyDescent="0.2">
      <c r="A335" s="57"/>
    </row>
    <row r="336" spans="1:1" x14ac:dyDescent="0.2">
      <c r="A336" s="57"/>
    </row>
    <row r="337" spans="1:1" x14ac:dyDescent="0.2">
      <c r="A337" s="57"/>
    </row>
    <row r="338" spans="1:1" x14ac:dyDescent="0.2">
      <c r="A338" s="57"/>
    </row>
    <row r="339" spans="1:1" x14ac:dyDescent="0.2">
      <c r="A339" s="57"/>
    </row>
    <row r="340" spans="1:1" x14ac:dyDescent="0.2">
      <c r="A340" s="57"/>
    </row>
    <row r="341" spans="1:1" x14ac:dyDescent="0.2">
      <c r="A341" s="57"/>
    </row>
    <row r="342" spans="1:1" x14ac:dyDescent="0.2">
      <c r="A342" s="57"/>
    </row>
    <row r="343" spans="1:1" x14ac:dyDescent="0.2">
      <c r="A343" s="57"/>
    </row>
    <row r="344" spans="1:1" x14ac:dyDescent="0.2">
      <c r="A344" s="57"/>
    </row>
    <row r="345" spans="1:1" x14ac:dyDescent="0.2">
      <c r="A345" s="57"/>
    </row>
    <row r="346" spans="1:1" x14ac:dyDescent="0.2">
      <c r="A346" s="57"/>
    </row>
    <row r="347" spans="1:1" x14ac:dyDescent="0.2">
      <c r="A347" s="57"/>
    </row>
    <row r="348" spans="1:1" x14ac:dyDescent="0.2">
      <c r="A348" s="57"/>
    </row>
    <row r="349" spans="1:1" x14ac:dyDescent="0.2">
      <c r="A349" s="57"/>
    </row>
    <row r="350" spans="1:1" x14ac:dyDescent="0.2">
      <c r="A350" s="57"/>
    </row>
    <row r="351" spans="1:1" x14ac:dyDescent="0.2">
      <c r="A351" s="57"/>
    </row>
    <row r="352" spans="1:1" x14ac:dyDescent="0.2">
      <c r="A352" s="57"/>
    </row>
    <row r="353" spans="1:1" x14ac:dyDescent="0.2">
      <c r="A353" s="57"/>
    </row>
    <row r="354" spans="1:1" x14ac:dyDescent="0.2">
      <c r="A354" s="57"/>
    </row>
    <row r="355" spans="1:1" x14ac:dyDescent="0.2">
      <c r="A355" s="57"/>
    </row>
    <row r="356" spans="1:1" x14ac:dyDescent="0.2">
      <c r="A356" s="57"/>
    </row>
    <row r="357" spans="1:1" x14ac:dyDescent="0.2">
      <c r="A357" s="57"/>
    </row>
    <row r="358" spans="1:1" x14ac:dyDescent="0.2">
      <c r="A358" s="57"/>
    </row>
    <row r="359" spans="1:1" x14ac:dyDescent="0.2">
      <c r="A359" s="57"/>
    </row>
    <row r="360" spans="1:1" x14ac:dyDescent="0.2">
      <c r="A360" s="57"/>
    </row>
    <row r="361" spans="1:1" x14ac:dyDescent="0.2">
      <c r="A361" s="57"/>
    </row>
    <row r="362" spans="1:1" x14ac:dyDescent="0.2">
      <c r="A362" s="57"/>
    </row>
    <row r="363" spans="1:1" x14ac:dyDescent="0.2">
      <c r="A363" s="57"/>
    </row>
    <row r="364" spans="1:1" x14ac:dyDescent="0.2">
      <c r="A364" s="57"/>
    </row>
    <row r="365" spans="1:1" x14ac:dyDescent="0.2">
      <c r="A365" s="57"/>
    </row>
    <row r="366" spans="1:1" x14ac:dyDescent="0.2">
      <c r="A366" s="57"/>
    </row>
    <row r="367" spans="1:1" x14ac:dyDescent="0.2">
      <c r="A367" s="57"/>
    </row>
    <row r="368" spans="1:1" x14ac:dyDescent="0.2">
      <c r="A368" s="57"/>
    </row>
    <row r="369" spans="1:1" x14ac:dyDescent="0.2">
      <c r="A369" s="57"/>
    </row>
    <row r="370" spans="1:1" x14ac:dyDescent="0.2">
      <c r="A370" s="57"/>
    </row>
    <row r="371" spans="1:1" x14ac:dyDescent="0.2">
      <c r="A371" s="57"/>
    </row>
    <row r="372" spans="1:1" x14ac:dyDescent="0.2">
      <c r="A372" s="57"/>
    </row>
    <row r="373" spans="1:1" x14ac:dyDescent="0.2">
      <c r="A373" s="57"/>
    </row>
    <row r="374" spans="1:1" x14ac:dyDescent="0.2">
      <c r="A374" s="57"/>
    </row>
    <row r="375" spans="1:1" x14ac:dyDescent="0.2">
      <c r="A375" s="57"/>
    </row>
    <row r="376" spans="1:1" x14ac:dyDescent="0.2">
      <c r="A376" s="57"/>
    </row>
    <row r="377" spans="1:1" x14ac:dyDescent="0.2">
      <c r="A377" s="57"/>
    </row>
    <row r="378" spans="1:1" x14ac:dyDescent="0.2">
      <c r="A378" s="57"/>
    </row>
    <row r="379" spans="1:1" x14ac:dyDescent="0.2">
      <c r="A379" s="57"/>
    </row>
    <row r="380" spans="1:1" x14ac:dyDescent="0.2">
      <c r="A380" s="57"/>
    </row>
    <row r="381" spans="1:1" x14ac:dyDescent="0.2">
      <c r="A381" s="57"/>
    </row>
    <row r="382" spans="1:1" x14ac:dyDescent="0.2">
      <c r="A382" s="57"/>
    </row>
    <row r="383" spans="1:1" x14ac:dyDescent="0.2">
      <c r="A383" s="57"/>
    </row>
    <row r="384" spans="1:1" x14ac:dyDescent="0.2">
      <c r="A384" s="57"/>
    </row>
    <row r="385" spans="1:1" x14ac:dyDescent="0.2">
      <c r="A385" s="57"/>
    </row>
    <row r="386" spans="1:1" x14ac:dyDescent="0.2">
      <c r="A386" s="57"/>
    </row>
    <row r="387" spans="1:1" x14ac:dyDescent="0.2">
      <c r="A387" s="57"/>
    </row>
    <row r="388" spans="1:1" x14ac:dyDescent="0.2">
      <c r="A388" s="57"/>
    </row>
    <row r="389" spans="1:1" x14ac:dyDescent="0.2">
      <c r="A389" s="57"/>
    </row>
    <row r="390" spans="1:1" x14ac:dyDescent="0.2">
      <c r="A390" s="57"/>
    </row>
    <row r="391" spans="1:1" x14ac:dyDescent="0.2">
      <c r="A391" s="57"/>
    </row>
    <row r="392" spans="1:1" x14ac:dyDescent="0.2">
      <c r="A392" s="57"/>
    </row>
    <row r="393" spans="1:1" x14ac:dyDescent="0.2">
      <c r="A393" s="57"/>
    </row>
    <row r="394" spans="1:1" x14ac:dyDescent="0.2">
      <c r="A394" s="57"/>
    </row>
    <row r="395" spans="1:1" x14ac:dyDescent="0.2">
      <c r="A395" s="57"/>
    </row>
    <row r="396" spans="1:1" x14ac:dyDescent="0.2">
      <c r="A396" s="57"/>
    </row>
    <row r="397" spans="1:1" x14ac:dyDescent="0.2">
      <c r="A397" s="57"/>
    </row>
    <row r="398" spans="1:1" x14ac:dyDescent="0.2">
      <c r="A398" s="57"/>
    </row>
    <row r="399" spans="1:1" x14ac:dyDescent="0.2">
      <c r="A399" s="57"/>
    </row>
    <row r="400" spans="1:1" x14ac:dyDescent="0.2">
      <c r="A400" s="57"/>
    </row>
    <row r="401" spans="1:1" x14ac:dyDescent="0.2">
      <c r="A401" s="57"/>
    </row>
    <row r="402" spans="1:1" x14ac:dyDescent="0.2">
      <c r="A402" s="57"/>
    </row>
    <row r="403" spans="1:1" x14ac:dyDescent="0.2">
      <c r="A403" s="57"/>
    </row>
    <row r="404" spans="1:1" x14ac:dyDescent="0.2">
      <c r="A404" s="57"/>
    </row>
    <row r="405" spans="1:1" x14ac:dyDescent="0.2">
      <c r="A405" s="57"/>
    </row>
    <row r="406" spans="1:1" x14ac:dyDescent="0.2">
      <c r="A406" s="57"/>
    </row>
    <row r="407" spans="1:1" x14ac:dyDescent="0.2">
      <c r="A407" s="57"/>
    </row>
    <row r="408" spans="1:1" x14ac:dyDescent="0.2">
      <c r="A408" s="57"/>
    </row>
    <row r="409" spans="1:1" x14ac:dyDescent="0.2">
      <c r="A409" s="57"/>
    </row>
    <row r="410" spans="1:1" x14ac:dyDescent="0.2">
      <c r="A410" s="57"/>
    </row>
    <row r="411" spans="1:1" x14ac:dyDescent="0.2">
      <c r="A411" s="57"/>
    </row>
    <row r="412" spans="1:1" x14ac:dyDescent="0.2">
      <c r="A412" s="57"/>
    </row>
    <row r="413" spans="1:1" x14ac:dyDescent="0.2">
      <c r="A413" s="57"/>
    </row>
    <row r="414" spans="1:1" x14ac:dyDescent="0.2">
      <c r="A414" s="57"/>
    </row>
    <row r="415" spans="1:1" x14ac:dyDescent="0.2">
      <c r="A415" s="57"/>
    </row>
    <row r="416" spans="1:1" x14ac:dyDescent="0.2">
      <c r="A416" s="57"/>
    </row>
    <row r="417" spans="1:1" x14ac:dyDescent="0.2">
      <c r="A417" s="57"/>
    </row>
    <row r="418" spans="1:1" x14ac:dyDescent="0.2">
      <c r="A418" s="57"/>
    </row>
    <row r="419" spans="1:1" x14ac:dyDescent="0.2">
      <c r="A419" s="57"/>
    </row>
    <row r="420" spans="1:1" x14ac:dyDescent="0.2">
      <c r="A420" s="57"/>
    </row>
    <row r="421" spans="1:1" x14ac:dyDescent="0.2">
      <c r="A421" s="57"/>
    </row>
    <row r="422" spans="1:1" x14ac:dyDescent="0.2">
      <c r="A422" s="57"/>
    </row>
    <row r="423" spans="1:1" x14ac:dyDescent="0.2">
      <c r="A423" s="57"/>
    </row>
    <row r="424" spans="1:1" x14ac:dyDescent="0.2">
      <c r="A424" s="57"/>
    </row>
    <row r="425" spans="1:1" x14ac:dyDescent="0.2">
      <c r="A425" s="57"/>
    </row>
    <row r="426" spans="1:1" x14ac:dyDescent="0.2">
      <c r="A426" s="57"/>
    </row>
    <row r="427" spans="1:1" x14ac:dyDescent="0.2">
      <c r="A427" s="57"/>
    </row>
    <row r="428" spans="1:1" x14ac:dyDescent="0.2">
      <c r="A428" s="57"/>
    </row>
    <row r="429" spans="1:1" x14ac:dyDescent="0.2">
      <c r="A429" s="57"/>
    </row>
    <row r="430" spans="1:1" x14ac:dyDescent="0.2">
      <c r="A430" s="57"/>
    </row>
    <row r="431" spans="1:1" x14ac:dyDescent="0.2">
      <c r="A431" s="57"/>
    </row>
    <row r="432" spans="1:1" x14ac:dyDescent="0.2">
      <c r="A432" s="57"/>
    </row>
    <row r="433" spans="1:1" x14ac:dyDescent="0.2">
      <c r="A433" s="57"/>
    </row>
    <row r="434" spans="1:1" x14ac:dyDescent="0.2">
      <c r="A434" s="57"/>
    </row>
    <row r="435" spans="1:1" x14ac:dyDescent="0.2">
      <c r="A435" s="57"/>
    </row>
    <row r="436" spans="1:1" x14ac:dyDescent="0.2">
      <c r="A436" s="57"/>
    </row>
    <row r="437" spans="1:1" x14ac:dyDescent="0.2">
      <c r="A437" s="57"/>
    </row>
    <row r="438" spans="1:1" x14ac:dyDescent="0.2">
      <c r="A438" s="57"/>
    </row>
    <row r="439" spans="1:1" x14ac:dyDescent="0.2">
      <c r="A439" s="57"/>
    </row>
    <row r="440" spans="1:1" x14ac:dyDescent="0.2">
      <c r="A440" s="57"/>
    </row>
    <row r="441" spans="1:1" x14ac:dyDescent="0.2">
      <c r="A441" s="57"/>
    </row>
    <row r="442" spans="1:1" x14ac:dyDescent="0.2">
      <c r="A442" s="57"/>
    </row>
    <row r="443" spans="1:1" x14ac:dyDescent="0.2">
      <c r="A443" s="57"/>
    </row>
    <row r="444" spans="1:1" x14ac:dyDescent="0.2">
      <c r="A444" s="57"/>
    </row>
    <row r="445" spans="1:1" x14ac:dyDescent="0.2">
      <c r="A445" s="57"/>
    </row>
    <row r="446" spans="1:1" x14ac:dyDescent="0.2">
      <c r="A446" s="57"/>
    </row>
    <row r="447" spans="1:1" x14ac:dyDescent="0.2">
      <c r="A447" s="57"/>
    </row>
    <row r="448" spans="1:1" x14ac:dyDescent="0.2">
      <c r="A448" s="57"/>
    </row>
    <row r="449" spans="1:1" x14ac:dyDescent="0.2">
      <c r="A449" s="57"/>
    </row>
    <row r="450" spans="1:1" x14ac:dyDescent="0.2">
      <c r="A450" s="57"/>
    </row>
    <row r="451" spans="1:1" x14ac:dyDescent="0.2">
      <c r="A451" s="57"/>
    </row>
    <row r="452" spans="1:1" x14ac:dyDescent="0.2">
      <c r="A452" s="57"/>
    </row>
    <row r="453" spans="1:1" x14ac:dyDescent="0.2">
      <c r="A453" s="57"/>
    </row>
    <row r="454" spans="1:1" x14ac:dyDescent="0.2">
      <c r="A454" s="57"/>
    </row>
    <row r="455" spans="1:1" x14ac:dyDescent="0.2">
      <c r="A455" s="57"/>
    </row>
    <row r="456" spans="1:1" x14ac:dyDescent="0.2">
      <c r="A456" s="57"/>
    </row>
    <row r="457" spans="1:1" x14ac:dyDescent="0.2">
      <c r="A457" s="57"/>
    </row>
    <row r="458" spans="1:1" x14ac:dyDescent="0.2">
      <c r="A458" s="57"/>
    </row>
    <row r="459" spans="1:1" x14ac:dyDescent="0.2">
      <c r="A459" s="57"/>
    </row>
    <row r="460" spans="1:1" x14ac:dyDescent="0.2">
      <c r="A460" s="57"/>
    </row>
    <row r="461" spans="1:1" x14ac:dyDescent="0.2">
      <c r="A461" s="57"/>
    </row>
    <row r="462" spans="1:1" x14ac:dyDescent="0.2">
      <c r="A462" s="57"/>
    </row>
    <row r="463" spans="1:1" x14ac:dyDescent="0.2">
      <c r="A463" s="57"/>
    </row>
    <row r="464" spans="1:1" x14ac:dyDescent="0.2">
      <c r="A464" s="57"/>
    </row>
    <row r="465" spans="1:1" x14ac:dyDescent="0.2">
      <c r="A465" s="57"/>
    </row>
    <row r="466" spans="1:1" x14ac:dyDescent="0.2">
      <c r="A466" s="57"/>
    </row>
    <row r="467" spans="1:1" x14ac:dyDescent="0.2">
      <c r="A467" s="57"/>
    </row>
    <row r="468" spans="1:1" x14ac:dyDescent="0.2">
      <c r="A468" s="57"/>
    </row>
    <row r="469" spans="1:1" x14ac:dyDescent="0.2">
      <c r="A469" s="57"/>
    </row>
    <row r="470" spans="1:1" x14ac:dyDescent="0.2">
      <c r="A470" s="57"/>
    </row>
    <row r="471" spans="1:1" x14ac:dyDescent="0.2">
      <c r="A471" s="57"/>
    </row>
    <row r="472" spans="1:1" x14ac:dyDescent="0.2">
      <c r="A472" s="57"/>
    </row>
    <row r="473" spans="1:1" x14ac:dyDescent="0.2">
      <c r="A473" s="57"/>
    </row>
    <row r="474" spans="1:1" x14ac:dyDescent="0.2">
      <c r="A474" s="57"/>
    </row>
    <row r="475" spans="1:1" x14ac:dyDescent="0.2">
      <c r="A475" s="57"/>
    </row>
    <row r="476" spans="1:1" x14ac:dyDescent="0.2">
      <c r="A476" s="57"/>
    </row>
    <row r="477" spans="1:1" x14ac:dyDescent="0.2">
      <c r="A477" s="57"/>
    </row>
    <row r="478" spans="1:1" x14ac:dyDescent="0.2">
      <c r="A478" s="57"/>
    </row>
    <row r="479" spans="1:1" x14ac:dyDescent="0.2">
      <c r="A479" s="57"/>
    </row>
    <row r="480" spans="1:1" x14ac:dyDescent="0.2">
      <c r="A480" s="57"/>
    </row>
    <row r="481" spans="1:1" x14ac:dyDescent="0.2">
      <c r="A481" s="57"/>
    </row>
    <row r="482" spans="1:1" x14ac:dyDescent="0.2">
      <c r="A482" s="57"/>
    </row>
    <row r="483" spans="1:1" x14ac:dyDescent="0.2">
      <c r="A483" s="57"/>
    </row>
    <row r="484" spans="1:1" x14ac:dyDescent="0.2">
      <c r="A484" s="57"/>
    </row>
    <row r="485" spans="1:1" x14ac:dyDescent="0.2">
      <c r="A485" s="57"/>
    </row>
    <row r="486" spans="1:1" x14ac:dyDescent="0.2">
      <c r="A486" s="57"/>
    </row>
    <row r="487" spans="1:1" x14ac:dyDescent="0.2">
      <c r="A487" s="57"/>
    </row>
    <row r="488" spans="1:1" x14ac:dyDescent="0.2">
      <c r="A488" s="57"/>
    </row>
    <row r="489" spans="1:1" x14ac:dyDescent="0.2">
      <c r="A489" s="57"/>
    </row>
    <row r="490" spans="1:1" x14ac:dyDescent="0.2">
      <c r="A490" s="57"/>
    </row>
    <row r="491" spans="1:1" x14ac:dyDescent="0.2">
      <c r="A491" s="57"/>
    </row>
    <row r="492" spans="1:1" x14ac:dyDescent="0.2">
      <c r="A492" s="57"/>
    </row>
    <row r="493" spans="1:1" x14ac:dyDescent="0.2">
      <c r="A493" s="57"/>
    </row>
    <row r="494" spans="1:1" x14ac:dyDescent="0.2">
      <c r="A494" s="57"/>
    </row>
    <row r="495" spans="1:1" x14ac:dyDescent="0.2">
      <c r="A495" s="57"/>
    </row>
    <row r="496" spans="1:1" x14ac:dyDescent="0.2">
      <c r="A496" s="57"/>
    </row>
    <row r="497" spans="1:1" x14ac:dyDescent="0.2">
      <c r="A497" s="57"/>
    </row>
    <row r="498" spans="1:1" x14ac:dyDescent="0.2">
      <c r="A498" s="57"/>
    </row>
    <row r="499" spans="1:1" x14ac:dyDescent="0.2">
      <c r="A499" s="57"/>
    </row>
    <row r="500" spans="1:1" x14ac:dyDescent="0.2">
      <c r="A500" s="57"/>
    </row>
    <row r="501" spans="1:1" x14ac:dyDescent="0.2">
      <c r="A501" s="57"/>
    </row>
    <row r="502" spans="1:1" x14ac:dyDescent="0.2">
      <c r="A502" s="57"/>
    </row>
    <row r="503" spans="1:1" x14ac:dyDescent="0.2">
      <c r="A503" s="57"/>
    </row>
    <row r="504" spans="1:1" x14ac:dyDescent="0.2">
      <c r="A504" s="57"/>
    </row>
    <row r="505" spans="1:1" x14ac:dyDescent="0.2">
      <c r="A505" s="57"/>
    </row>
    <row r="506" spans="1:1" x14ac:dyDescent="0.2">
      <c r="A506" s="57"/>
    </row>
    <row r="507" spans="1:1" x14ac:dyDescent="0.2">
      <c r="A507" s="57"/>
    </row>
    <row r="508" spans="1:1" x14ac:dyDescent="0.2">
      <c r="A508" s="57"/>
    </row>
    <row r="509" spans="1:1" x14ac:dyDescent="0.2">
      <c r="A509" s="57"/>
    </row>
    <row r="510" spans="1:1" x14ac:dyDescent="0.2">
      <c r="A510" s="57"/>
    </row>
    <row r="511" spans="1:1" x14ac:dyDescent="0.2">
      <c r="A511" s="57"/>
    </row>
    <row r="512" spans="1:1" x14ac:dyDescent="0.2">
      <c r="A512" s="57"/>
    </row>
    <row r="513" spans="1:1" x14ac:dyDescent="0.2">
      <c r="A513" s="57"/>
    </row>
    <row r="514" spans="1:1" x14ac:dyDescent="0.2">
      <c r="A514" s="57"/>
    </row>
    <row r="515" spans="1:1" x14ac:dyDescent="0.2">
      <c r="A515" s="57"/>
    </row>
    <row r="516" spans="1:1" x14ac:dyDescent="0.2">
      <c r="A516" s="57"/>
    </row>
    <row r="517" spans="1:1" x14ac:dyDescent="0.2">
      <c r="A517" s="57"/>
    </row>
    <row r="518" spans="1:1" x14ac:dyDescent="0.2">
      <c r="A518" s="57"/>
    </row>
    <row r="519" spans="1:1" x14ac:dyDescent="0.2">
      <c r="A519" s="57"/>
    </row>
    <row r="520" spans="1:1" x14ac:dyDescent="0.2">
      <c r="A520" s="57"/>
    </row>
    <row r="521" spans="1:1" x14ac:dyDescent="0.2">
      <c r="A521" s="57"/>
    </row>
    <row r="522" spans="1:1" x14ac:dyDescent="0.2">
      <c r="A522" s="57"/>
    </row>
    <row r="523" spans="1:1" x14ac:dyDescent="0.2">
      <c r="A523" s="57"/>
    </row>
    <row r="524" spans="1:1" x14ac:dyDescent="0.2">
      <c r="A524" s="57"/>
    </row>
    <row r="525" spans="1:1" x14ac:dyDescent="0.2">
      <c r="A525" s="57"/>
    </row>
    <row r="526" spans="1:1" x14ac:dyDescent="0.2">
      <c r="A526" s="57"/>
    </row>
    <row r="527" spans="1:1" x14ac:dyDescent="0.2">
      <c r="A527" s="57"/>
    </row>
    <row r="528" spans="1:1" x14ac:dyDescent="0.2">
      <c r="A528" s="57"/>
    </row>
    <row r="529" spans="1:1" x14ac:dyDescent="0.2">
      <c r="A529" s="57"/>
    </row>
    <row r="530" spans="1:1" x14ac:dyDescent="0.2">
      <c r="A530" s="57"/>
    </row>
    <row r="531" spans="1:1" x14ac:dyDescent="0.2">
      <c r="A531" s="57"/>
    </row>
    <row r="532" spans="1:1" x14ac:dyDescent="0.2">
      <c r="A532" s="57"/>
    </row>
    <row r="533" spans="1:1" x14ac:dyDescent="0.2">
      <c r="A533" s="57"/>
    </row>
    <row r="534" spans="1:1" x14ac:dyDescent="0.2">
      <c r="A534" s="57"/>
    </row>
    <row r="535" spans="1:1" x14ac:dyDescent="0.2">
      <c r="A535" s="57"/>
    </row>
    <row r="536" spans="1:1" x14ac:dyDescent="0.2">
      <c r="A536" s="57"/>
    </row>
    <row r="537" spans="1:1" x14ac:dyDescent="0.2">
      <c r="A537" s="57"/>
    </row>
    <row r="538" spans="1:1" x14ac:dyDescent="0.2">
      <c r="A538" s="57"/>
    </row>
    <row r="539" spans="1:1" x14ac:dyDescent="0.2">
      <c r="A539" s="57"/>
    </row>
    <row r="540" spans="1:1" x14ac:dyDescent="0.2">
      <c r="A540" s="57"/>
    </row>
    <row r="541" spans="1:1" x14ac:dyDescent="0.2">
      <c r="A541" s="57"/>
    </row>
    <row r="542" spans="1:1" x14ac:dyDescent="0.2">
      <c r="A542" s="57"/>
    </row>
    <row r="543" spans="1:1" x14ac:dyDescent="0.2">
      <c r="A543" s="57"/>
    </row>
    <row r="544" spans="1:1" x14ac:dyDescent="0.2">
      <c r="A544" s="57"/>
    </row>
    <row r="545" spans="1:1" x14ac:dyDescent="0.2">
      <c r="A545" s="57"/>
    </row>
    <row r="546" spans="1:1" x14ac:dyDescent="0.2">
      <c r="A546" s="57"/>
    </row>
    <row r="547" spans="1:1" x14ac:dyDescent="0.2">
      <c r="A547" s="57"/>
    </row>
    <row r="548" spans="1:1" x14ac:dyDescent="0.2">
      <c r="A548" s="57"/>
    </row>
    <row r="549" spans="1:1" x14ac:dyDescent="0.2">
      <c r="A549" s="57"/>
    </row>
    <row r="550" spans="1:1" x14ac:dyDescent="0.2">
      <c r="A550" s="57"/>
    </row>
    <row r="551" spans="1:1" x14ac:dyDescent="0.2">
      <c r="A551" s="57"/>
    </row>
    <row r="552" spans="1:1" x14ac:dyDescent="0.2">
      <c r="A552" s="57"/>
    </row>
    <row r="553" spans="1:1" x14ac:dyDescent="0.2">
      <c r="A553" s="57"/>
    </row>
    <row r="554" spans="1:1" x14ac:dyDescent="0.2">
      <c r="A554" s="57"/>
    </row>
    <row r="555" spans="1:1" x14ac:dyDescent="0.2">
      <c r="A555" s="57"/>
    </row>
    <row r="556" spans="1:1" x14ac:dyDescent="0.2">
      <c r="A556" s="57"/>
    </row>
    <row r="557" spans="1:1" x14ac:dyDescent="0.2">
      <c r="A557" s="57"/>
    </row>
    <row r="558" spans="1:1" x14ac:dyDescent="0.2">
      <c r="A558" s="57"/>
    </row>
    <row r="559" spans="1:1" x14ac:dyDescent="0.2">
      <c r="A559" s="57"/>
    </row>
    <row r="560" spans="1:1" x14ac:dyDescent="0.2">
      <c r="A560" s="57"/>
    </row>
    <row r="561" spans="1:1" x14ac:dyDescent="0.2">
      <c r="A561" s="57"/>
    </row>
    <row r="562" spans="1:1" x14ac:dyDescent="0.2">
      <c r="A562" s="57"/>
    </row>
    <row r="563" spans="1:1" x14ac:dyDescent="0.2">
      <c r="A563" s="57"/>
    </row>
    <row r="564" spans="1:1" x14ac:dyDescent="0.2">
      <c r="A564" s="57"/>
    </row>
    <row r="565" spans="1:1" x14ac:dyDescent="0.2">
      <c r="A565" s="57"/>
    </row>
    <row r="566" spans="1:1" x14ac:dyDescent="0.2">
      <c r="A566" s="57"/>
    </row>
    <row r="567" spans="1:1" x14ac:dyDescent="0.2">
      <c r="A567" s="57"/>
    </row>
    <row r="568" spans="1:1" x14ac:dyDescent="0.2">
      <c r="A568" s="57"/>
    </row>
    <row r="569" spans="1:1" x14ac:dyDescent="0.2">
      <c r="A569" s="57"/>
    </row>
    <row r="570" spans="1:1" x14ac:dyDescent="0.2">
      <c r="A570" s="57"/>
    </row>
    <row r="571" spans="1:1" x14ac:dyDescent="0.2">
      <c r="A571" s="57"/>
    </row>
    <row r="572" spans="1:1" x14ac:dyDescent="0.2">
      <c r="A572" s="57"/>
    </row>
    <row r="573" spans="1:1" x14ac:dyDescent="0.2">
      <c r="A573" s="57"/>
    </row>
    <row r="574" spans="1:1" x14ac:dyDescent="0.2">
      <c r="A574" s="57"/>
    </row>
    <row r="575" spans="1:1" x14ac:dyDescent="0.2">
      <c r="A575" s="57"/>
    </row>
    <row r="576" spans="1:1" x14ac:dyDescent="0.2">
      <c r="A576" s="57"/>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
  <sheetViews>
    <sheetView zoomScaleNormal="100" workbookViewId="0">
      <selection activeCell="C7" sqref="C7"/>
    </sheetView>
  </sheetViews>
  <sheetFormatPr defaultColWidth="8.7109375" defaultRowHeight="12.75" x14ac:dyDescent="0.2"/>
  <sheetData>
    <row r="1" spans="1:8" x14ac:dyDescent="0.2">
      <c r="C1" t="s">
        <v>126</v>
      </c>
      <c r="F1" t="s">
        <v>124</v>
      </c>
    </row>
    <row r="2" spans="1:8" x14ac:dyDescent="0.2">
      <c r="A2" s="61" t="s">
        <v>127</v>
      </c>
      <c r="B2" s="61"/>
      <c r="C2" s="62" t="e">
        <f>AVERAGE(#REF!)</f>
        <v>#REF!</v>
      </c>
      <c r="D2" s="62" t="e">
        <f>STDEV(#REF!)</f>
        <v>#REF!</v>
      </c>
      <c r="F2" s="3"/>
      <c r="G2" s="60"/>
      <c r="H2" s="60"/>
    </row>
    <row r="4" spans="1:8" x14ac:dyDescent="0.2">
      <c r="A4" s="61" t="s">
        <v>128</v>
      </c>
      <c r="B4" s="61"/>
      <c r="C4" s="62" t="e">
        <f>#REF!</f>
        <v>#REF!</v>
      </c>
      <c r="D4" s="62" t="e">
        <f>#REF!</f>
        <v>#REF!</v>
      </c>
      <c r="E4" s="61"/>
      <c r="F4" s="62" t="e">
        <f>#REF!</f>
        <v>#REF!</v>
      </c>
      <c r="G4" s="62" t="e">
        <f>#REF!</f>
        <v>#REF!</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34</TotalTime>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Commentary</vt:lpstr>
      <vt:lpstr>pyUBreadings</vt:lpstr>
      <vt:lpstr>pyUBresults</vt:lpstr>
      <vt:lpstr>pyReport</vt:lpstr>
      <vt:lpstr>re2019</vt:lpstr>
      <vt:lpstr>coax_v_twist</vt:lpstr>
      <vt:lpstr>LHistory</vt:lpstr>
      <vt:lpstr>exampleU</vt:lpstr>
      <vt:lpstr>Room Conditions</vt:lpstr>
      <vt:lpstr>Conditions</vt:lpstr>
      <vt:lpstr>inductor1</vt:lpstr>
      <vt:lpstr>inductor2</vt:lpstr>
      <vt:lpstr>pyvalues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Keith Jones</dc:creator>
  <dc:description/>
  <cp:lastModifiedBy>Keith Jones</cp:lastModifiedBy>
  <cp:revision>6</cp:revision>
  <cp:lastPrinted>2025-01-28T01:29:06Z</cp:lastPrinted>
  <dcterms:created xsi:type="dcterms:W3CDTF">1999-09-28T04:51:25Z</dcterms:created>
  <dcterms:modified xsi:type="dcterms:W3CDTF">2025-01-28T03:27:29Z</dcterms:modified>
  <dc:language>en-NZ</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0f3317-728b-413c-82e7-a8128c12a6dd_Enabled">
    <vt:lpwstr>true</vt:lpwstr>
  </property>
  <property fmtid="{D5CDD505-2E9C-101B-9397-08002B2CF9AE}" pid="3" name="MSIP_Label_fc0f3317-728b-413c-82e7-a8128c12a6dd_SetDate">
    <vt:lpwstr>2025-01-14T00:30:18Z</vt:lpwstr>
  </property>
  <property fmtid="{D5CDD505-2E9C-101B-9397-08002B2CF9AE}" pid="4" name="MSIP_Label_fc0f3317-728b-413c-82e7-a8128c12a6dd_Method">
    <vt:lpwstr>Standard</vt:lpwstr>
  </property>
  <property fmtid="{D5CDD505-2E9C-101B-9397-08002B2CF9AE}" pid="5" name="MSIP_Label_fc0f3317-728b-413c-82e7-a8128c12a6dd_Name">
    <vt:lpwstr>IN CONFIDENCE - GENERAL</vt:lpwstr>
  </property>
  <property fmtid="{D5CDD505-2E9C-101B-9397-08002B2CF9AE}" pid="6" name="MSIP_Label_fc0f3317-728b-413c-82e7-a8128c12a6dd_SiteId">
    <vt:lpwstr>ca6b2569-0949-4176-9e40-a0a96aea7b0a</vt:lpwstr>
  </property>
  <property fmtid="{D5CDD505-2E9C-101B-9397-08002B2CF9AE}" pid="7" name="MSIP_Label_fc0f3317-728b-413c-82e7-a8128c12a6dd_ActionId">
    <vt:lpwstr>e277fc29-9455-4cf4-ae59-c542b19ff6ac</vt:lpwstr>
  </property>
  <property fmtid="{D5CDD505-2E9C-101B-9397-08002B2CF9AE}" pid="8" name="MSIP_Label_fc0f3317-728b-413c-82e7-a8128c12a6dd_ContentBits">
    <vt:lpwstr>0</vt:lpwstr>
  </property>
</Properties>
</file>