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llaghaninnovationgovtnz-my.sharepoint.com/personal/keith_jones_callaghaninnovation_govt_nz/Documents/KJ/PycharmProjects/UniversalBridge3/spread_sheets/"/>
    </mc:Choice>
  </mc:AlternateContent>
  <xr:revisionPtr revIDLastSave="220" documentId="8_{B8C95EED-6530-4AB6-9FD9-B9FB92702BC5}" xr6:coauthVersionLast="47" xr6:coauthVersionMax="47" xr10:uidLastSave="{DF6B667B-F09F-4D1E-918F-CC1267E15CBF}"/>
  <bookViews>
    <workbookView xWindow="36870" yWindow="855" windowWidth="33600" windowHeight="18915" activeTab="4" xr2:uid="{00000000-000D-0000-FFFF-FFFF00000000}"/>
  </bookViews>
  <sheets>
    <sheet name="Commentary" sheetId="12" r:id="rId1"/>
    <sheet name="pyUBreadings" sheetId="21" r:id="rId2"/>
    <sheet name="pyUBresults" sheetId="24" r:id="rId3"/>
    <sheet name="pyReport" sheetId="25" r:id="rId4"/>
    <sheet name="CapHist" sheetId="26" r:id="rId5"/>
  </sheets>
  <definedNames>
    <definedName name="_xlnm._FilterDatabase" localSheetId="2" hidden="1">pyUBresults!$A$1:$AB$28</definedName>
    <definedName name="alpha">#REF!</definedName>
    <definedName name="Andeen" comment="AH2700 measurements of loss">#REF!</definedName>
    <definedName name="B_331">#REF!</definedName>
    <definedName name="b_331_uc">#REF!</definedName>
    <definedName name="beta">#REF!</definedName>
    <definedName name="C_1">#REF!</definedName>
    <definedName name="C_standard_uncertainty">#REF!</definedName>
    <definedName name="C_unit_mult">#REF!</definedName>
    <definedName name="correction_c">#REF!</definedName>
    <definedName name="corrections">#REF!</definedName>
    <definedName name="Data">#REF!</definedName>
    <definedName name="Date">#REF!</definedName>
    <definedName name="frequency">#REF!</definedName>
    <definedName name="G_1">#REF!</definedName>
    <definedName name="G_2">#REF!</definedName>
    <definedName name="G_standard_uncertainty">#REF!</definedName>
    <definedName name="G_unit_mult">#REF!</definedName>
    <definedName name="history">#REF!</definedName>
    <definedName name="Inductance">#REF!</definedName>
    <definedName name="L_standard_uncertainty">#REF!</definedName>
    <definedName name="L_v">#REF!</definedName>
    <definedName name="label">#REF!</definedName>
    <definedName name="multiplier">#REF!</definedName>
    <definedName name="Nominal_Value">#REF!</definedName>
    <definedName name="NominalValue">#REF!</definedName>
    <definedName name="Old_date">#REF!</definedName>
    <definedName name="Old_Inductance">#REF!</definedName>
    <definedName name="Old_Resistance">#REF!</definedName>
    <definedName name="Params">#REF!</definedName>
    <definedName name="pyvalues">pyUBresults!$Z$2:$AO$28</definedName>
    <definedName name="R_4A">#REF!</definedName>
    <definedName name="R_4B">#REF!</definedName>
    <definedName name="R_4C">#REF!</definedName>
    <definedName name="R_standard_uncertainty">#REF!</definedName>
    <definedName name="R_v">#REF!</definedName>
    <definedName name="Range">#REF!</definedName>
    <definedName name="Rangex">#REF!</definedName>
    <definedName name="Record">#REF!</definedName>
    <definedName name="Reports" comment="Old reports">#REF!</definedName>
    <definedName name="Resistance">#REF!</definedName>
    <definedName name="Results">#REF!</definedName>
    <definedName name="tag">#REF!</definedName>
    <definedName name="Tap_No">#REF!</definedName>
    <definedName name="ub_uncertainty">#REF!</definedName>
    <definedName name="Uncertainty">#REF!</definedName>
    <definedName name="zero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26" l="1"/>
  <c r="C10" i="26"/>
  <c r="L14" i="26"/>
  <c r="L15" i="26"/>
  <c r="L16" i="26"/>
  <c r="L17" i="26"/>
  <c r="L13" i="26"/>
  <c r="H14" i="26"/>
  <c r="H15" i="26"/>
  <c r="H16" i="26"/>
  <c r="H17" i="26"/>
  <c r="H13" i="26"/>
  <c r="D14" i="26"/>
  <c r="E14" i="26"/>
  <c r="I14" i="26"/>
  <c r="M14" i="26"/>
  <c r="P14" i="26"/>
  <c r="Q14" i="26"/>
  <c r="T14" i="26"/>
  <c r="U14" i="26"/>
  <c r="D15" i="26"/>
  <c r="E15" i="26"/>
  <c r="I15" i="26"/>
  <c r="M15" i="26"/>
  <c r="P15" i="26"/>
  <c r="Q15" i="26"/>
  <c r="T15" i="26"/>
  <c r="U15" i="26"/>
  <c r="D16" i="26"/>
  <c r="E16" i="26"/>
  <c r="I16" i="26"/>
  <c r="M16" i="26"/>
  <c r="P16" i="26"/>
  <c r="Q16" i="26"/>
  <c r="T16" i="26"/>
  <c r="U16" i="26"/>
  <c r="D17" i="26"/>
  <c r="E17" i="26"/>
  <c r="I17" i="26"/>
  <c r="M17" i="26"/>
  <c r="P17" i="26"/>
  <c r="Q17" i="26"/>
  <c r="T17" i="26"/>
  <c r="U17" i="26"/>
  <c r="T13" i="26"/>
  <c r="U13" i="26"/>
  <c r="Q13" i="26"/>
  <c r="P13" i="26"/>
  <c r="M13" i="26"/>
  <c r="I13" i="26"/>
  <c r="E13" i="26"/>
  <c r="D13" i="26"/>
  <c r="T10" i="26"/>
  <c r="U10" i="26"/>
  <c r="W10" i="26"/>
  <c r="V10" i="26"/>
  <c r="S10" i="26"/>
  <c r="R10" i="26"/>
  <c r="Q10" i="26"/>
  <c r="P10" i="26"/>
  <c r="O10" i="26"/>
  <c r="N10" i="26"/>
  <c r="M10" i="26"/>
  <c r="L10" i="26"/>
  <c r="K10" i="26"/>
  <c r="J10" i="26"/>
  <c r="I10" i="26"/>
  <c r="H10" i="26"/>
  <c r="G10" i="26"/>
  <c r="F10" i="26"/>
  <c r="E10" i="26"/>
  <c r="D10" i="26"/>
  <c r="AA8" i="24"/>
  <c r="U4" i="25"/>
  <c r="V4" i="25"/>
  <c r="U5" i="25"/>
  <c r="V5" i="25"/>
  <c r="U6" i="25"/>
  <c r="V6" i="25"/>
  <c r="U7" i="25"/>
  <c r="V7" i="25"/>
  <c r="U8" i="25"/>
  <c r="V8" i="25"/>
  <c r="S8" i="25"/>
  <c r="R8" i="25"/>
  <c r="Q8" i="25"/>
  <c r="S7" i="25"/>
  <c r="R7" i="25"/>
  <c r="Q7" i="25"/>
  <c r="S6" i="25"/>
  <c r="R6" i="25"/>
  <c r="Q6" i="25"/>
  <c r="S5" i="25"/>
  <c r="R5" i="25"/>
  <c r="Q5" i="25"/>
  <c r="S4" i="25"/>
  <c r="R4" i="25"/>
  <c r="Q4" i="25"/>
  <c r="P8" i="25"/>
  <c r="P7" i="25"/>
  <c r="P6" i="25"/>
  <c r="P5" i="25"/>
  <c r="P4" i="25"/>
  <c r="O8" i="25"/>
  <c r="O7" i="25"/>
  <c r="O6" i="25"/>
  <c r="O5" i="25"/>
  <c r="O4" i="25"/>
  <c r="N8" i="25"/>
  <c r="N7" i="25"/>
  <c r="N6" i="25"/>
  <c r="N5" i="25"/>
  <c r="N4" i="25"/>
  <c r="AS13" i="24" l="1"/>
  <c r="AS11" i="24"/>
  <c r="AS9" i="24"/>
  <c r="AS7" i="24"/>
  <c r="AS5" i="24"/>
  <c r="AA14" i="24" l="1"/>
  <c r="AB14" i="24"/>
  <c r="AC14" i="24"/>
  <c r="AD14" i="24"/>
  <c r="AE14" i="24"/>
  <c r="AB8" i="24"/>
  <c r="AC8" i="24"/>
  <c r="AD8" i="24"/>
  <c r="AE8" i="24"/>
  <c r="AA2" i="24"/>
  <c r="AB2" i="24"/>
  <c r="AC2" i="24"/>
  <c r="AD2" i="24"/>
  <c r="AE2" i="24"/>
  <c r="AF2" i="24"/>
  <c r="Z2" i="24"/>
  <c r="X3" i="24"/>
  <c r="Y3" i="24"/>
  <c r="Z3" i="24"/>
  <c r="AA3" i="24"/>
  <c r="AB3" i="24"/>
  <c r="AC3" i="24"/>
  <c r="AD3" i="24"/>
  <c r="AE3" i="24"/>
  <c r="AF3" i="24"/>
  <c r="Z4" i="24"/>
  <c r="AA4" i="24"/>
  <c r="AB4" i="24"/>
  <c r="AC4" i="24"/>
  <c r="AD4" i="24"/>
  <c r="AE4" i="24"/>
  <c r="AF4" i="24"/>
  <c r="X5" i="24"/>
  <c r="Y5" i="24"/>
  <c r="Z5" i="24"/>
  <c r="AA5" i="24"/>
  <c r="AB5" i="24"/>
  <c r="AC5" i="24"/>
  <c r="AI5" i="24" s="1"/>
  <c r="AD5" i="24"/>
  <c r="AE5" i="24"/>
  <c r="AF5" i="24"/>
  <c r="AL5" i="24" s="1"/>
  <c r="AO5" i="24" s="1"/>
  <c r="Z6" i="24"/>
  <c r="AA6" i="24"/>
  <c r="AB6" i="24"/>
  <c r="AC6" i="24"/>
  <c r="AD6" i="24"/>
  <c r="AE6" i="24"/>
  <c r="AF6" i="24"/>
  <c r="X7" i="24"/>
  <c r="Y7" i="24"/>
  <c r="Z7" i="24"/>
  <c r="AA7" i="24"/>
  <c r="AG7" i="24" s="1"/>
  <c r="AQ7" i="24" s="1"/>
  <c r="AB7" i="24"/>
  <c r="AC7" i="24"/>
  <c r="AI7" i="24" s="1"/>
  <c r="AD7" i="24"/>
  <c r="AE7" i="24"/>
  <c r="AF7" i="24"/>
  <c r="AL7" i="24" s="1"/>
  <c r="AO7" i="24" s="1"/>
  <c r="Z8" i="24"/>
  <c r="AF8" i="24"/>
  <c r="X9" i="24"/>
  <c r="Y9" i="24"/>
  <c r="Z9" i="24"/>
  <c r="AA9" i="24"/>
  <c r="AB9" i="24"/>
  <c r="AC9" i="24"/>
  <c r="AI9" i="24" s="1"/>
  <c r="AD9" i="24"/>
  <c r="AJ9" i="24" s="1"/>
  <c r="AE9" i="24"/>
  <c r="AF9" i="24"/>
  <c r="AL9" i="24" s="1"/>
  <c r="AO9" i="24" s="1"/>
  <c r="Z10" i="24"/>
  <c r="AA10" i="24"/>
  <c r="AB10" i="24"/>
  <c r="AC10" i="24"/>
  <c r="AD10" i="24"/>
  <c r="AE10" i="24"/>
  <c r="AF10" i="24"/>
  <c r="X11" i="24"/>
  <c r="Y11" i="24"/>
  <c r="Z11" i="24"/>
  <c r="AA11" i="24"/>
  <c r="AB11" i="24"/>
  <c r="AC11" i="24"/>
  <c r="AI11" i="24" s="1"/>
  <c r="AD11" i="24"/>
  <c r="AJ11" i="24" s="1"/>
  <c r="AE11" i="24"/>
  <c r="AF11" i="24"/>
  <c r="AL11" i="24" s="1"/>
  <c r="AO11" i="24" s="1"/>
  <c r="Z12" i="24"/>
  <c r="AA12" i="24"/>
  <c r="AB12" i="24"/>
  <c r="AC12" i="24"/>
  <c r="AD12" i="24"/>
  <c r="AE12" i="24"/>
  <c r="AF12" i="24"/>
  <c r="X13" i="24"/>
  <c r="Y13" i="24"/>
  <c r="Z13" i="24"/>
  <c r="AA13" i="24"/>
  <c r="AG13" i="24" s="1"/>
  <c r="AQ13" i="24" s="1"/>
  <c r="AB13" i="24"/>
  <c r="AC13" i="24"/>
  <c r="AI13" i="24" s="1"/>
  <c r="AD13" i="24"/>
  <c r="AE13" i="24"/>
  <c r="AF13" i="24"/>
  <c r="AL13" i="24" s="1"/>
  <c r="AO13" i="24" s="1"/>
  <c r="Z14" i="24"/>
  <c r="AF14" i="24"/>
  <c r="X15" i="24"/>
  <c r="Y15" i="24"/>
  <c r="Z15" i="24"/>
  <c r="AA15" i="24"/>
  <c r="AB15" i="24"/>
  <c r="AC15" i="24"/>
  <c r="AD15" i="24"/>
  <c r="AE15" i="24"/>
  <c r="AF15" i="24"/>
  <c r="X16" i="24"/>
  <c r="Y16" i="24"/>
  <c r="Z16" i="24"/>
  <c r="AA16" i="24"/>
  <c r="AB16" i="24"/>
  <c r="AC16" i="24"/>
  <c r="AD16" i="24"/>
  <c r="AE16" i="24"/>
  <c r="AF16" i="24"/>
  <c r="X17" i="24"/>
  <c r="Y17" i="24"/>
  <c r="Z17" i="24"/>
  <c r="AA17" i="24"/>
  <c r="AB17" i="24"/>
  <c r="AC17" i="24"/>
  <c r="AD17" i="24"/>
  <c r="AE17" i="24"/>
  <c r="AF17" i="24"/>
  <c r="AJ7" i="24" l="1"/>
  <c r="AH5" i="24"/>
  <c r="F4" i="25" s="1"/>
  <c r="X4" i="25" s="1"/>
  <c r="AG11" i="24"/>
  <c r="AQ11" i="24" s="1"/>
  <c r="AK11" i="24" s="1"/>
  <c r="AN11" i="24" s="1"/>
  <c r="I7" i="25" s="1"/>
  <c r="AA7" i="25" s="1"/>
  <c r="AG9" i="24"/>
  <c r="AQ9" i="24" s="1"/>
  <c r="AJ5" i="24"/>
  <c r="AK13" i="24"/>
  <c r="AN13" i="24" s="1"/>
  <c r="I8" i="25" s="1"/>
  <c r="AA8" i="25" s="1"/>
  <c r="AK9" i="24"/>
  <c r="AN9" i="24" s="1"/>
  <c r="I6" i="25" s="1"/>
  <c r="AA6" i="25" s="1"/>
  <c r="AM7" i="24"/>
  <c r="H5" i="25" s="1"/>
  <c r="Z5" i="25" s="1"/>
  <c r="J7" i="25"/>
  <c r="AB7" i="25" s="1"/>
  <c r="AJ13" i="24"/>
  <c r="AM13" i="24" s="1"/>
  <c r="H8" i="25" s="1"/>
  <c r="Z8" i="25" s="1"/>
  <c r="AH7" i="24"/>
  <c r="AH13" i="24"/>
  <c r="AH11" i="24"/>
  <c r="F7" i="25" s="1"/>
  <c r="X7" i="25" s="1"/>
  <c r="AH9" i="24"/>
  <c r="AK7" i="24"/>
  <c r="AN7" i="24" s="1"/>
  <c r="I5" i="25" s="1"/>
  <c r="AA5" i="25" s="1"/>
  <c r="AG5" i="24"/>
  <c r="AQ5" i="24" s="1"/>
  <c r="AK5" i="24" s="1"/>
  <c r="AN5" i="24" s="1"/>
  <c r="I4" i="25" s="1"/>
  <c r="AA4" i="25" s="1"/>
  <c r="AM9" i="24"/>
  <c r="H6" i="25" s="1"/>
  <c r="Z6" i="25" s="1"/>
  <c r="E5" i="25"/>
  <c r="W5" i="25" s="1"/>
  <c r="G8" i="25"/>
  <c r="Y8" i="25" s="1"/>
  <c r="F5" i="25"/>
  <c r="X5" i="25" s="1"/>
  <c r="G5" i="25"/>
  <c r="Y5" i="25" s="1"/>
  <c r="J6" i="25"/>
  <c r="AB6" i="25" s="1"/>
  <c r="J8" i="25"/>
  <c r="AB8" i="25" s="1"/>
  <c r="F8" i="25"/>
  <c r="X8" i="25" s="1"/>
  <c r="G7" i="25"/>
  <c r="Y7" i="25" s="1"/>
  <c r="J4" i="25"/>
  <c r="AB4" i="25" s="1"/>
  <c r="E6" i="25"/>
  <c r="W6" i="25" s="1"/>
  <c r="G4" i="25"/>
  <c r="Y4" i="25" s="1"/>
  <c r="J5" i="25"/>
  <c r="AB5" i="25" s="1"/>
  <c r="E8" i="25"/>
  <c r="W8" i="25" s="1"/>
  <c r="F6" i="25"/>
  <c r="X6" i="25" s="1"/>
  <c r="G6" i="25"/>
  <c r="Y6" i="25" s="1"/>
  <c r="AM5" i="24" l="1"/>
  <c r="H4" i="25" s="1"/>
  <c r="Z4" i="25" s="1"/>
  <c r="E7" i="25"/>
  <c r="W7" i="25" s="1"/>
  <c r="AM11" i="24"/>
  <c r="H7" i="25" s="1"/>
  <c r="Z7" i="25" s="1"/>
  <c r="E4" i="25"/>
  <c r="W4" i="2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Keith Jones</author>
  </authors>
  <commentList>
    <comment ref="A2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Keith Jones:</t>
        </r>
        <r>
          <rPr>
            <sz val="9"/>
            <color indexed="81"/>
            <rFont val="Tahoma"/>
            <family val="2"/>
          </rPr>
          <t xml:space="preserve">
dummy values, as the adapter zeros are the relevant zeros for the Muirhead caps.</t>
        </r>
      </text>
    </comment>
  </commentList>
</comments>
</file>

<file path=xl/sharedStrings.xml><?xml version="1.0" encoding="utf-8"?>
<sst xmlns="http://schemas.openxmlformats.org/spreadsheetml/2006/main" count="304" uniqueCount="181">
  <si>
    <t>Label</t>
  </si>
  <si>
    <t>k</t>
  </si>
  <si>
    <t>Range</t>
  </si>
  <si>
    <t>6Y</t>
  </si>
  <si>
    <t>3Y</t>
  </si>
  <si>
    <t>5Y</t>
  </si>
  <si>
    <t>Date</t>
  </si>
  <si>
    <t>4Y</t>
  </si>
  <si>
    <t>nF</t>
  </si>
  <si>
    <t>Frequency</t>
  </si>
  <si>
    <t>Hz</t>
  </si>
  <si>
    <t>Client</t>
  </si>
  <si>
    <t>Job number</t>
  </si>
  <si>
    <t>S Number</t>
  </si>
  <si>
    <t>Start with S21580a</t>
  </si>
  <si>
    <t>Copy 'Universal Bridge' from most recent S21814 for RLC standards.</t>
  </si>
  <si>
    <t>Update history page for easier plotting.</t>
  </si>
  <si>
    <t>Carefully redefine critical block names.</t>
  </si>
  <si>
    <t>Item</t>
  </si>
  <si>
    <t>Alter label structure on Results page, could try to use vlookup to find range zeros on UniversalBridge sheet?</t>
  </si>
  <si>
    <t>Replace uncertainty sheet with the uncertainty sheet from S21814</t>
  </si>
  <si>
    <t>ppm</t>
  </si>
  <si>
    <t>mrad</t>
  </si>
  <si>
    <t>Alter treatment of range 7Y and 6Y by applying corrections as at bottom of Results sheet</t>
  </si>
  <si>
    <t>Modify Report to pick up corrected results</t>
  </si>
  <si>
    <t>Start with S21815.xls</t>
  </si>
  <si>
    <t>As S21815.xls</t>
  </si>
  <si>
    <t>As S21942.xlsx</t>
  </si>
  <si>
    <t>Enter Ubridge calibration data of 7/7/14</t>
  </si>
  <si>
    <t>Add graph history of UB cal constants,  just for interest.</t>
  </si>
  <si>
    <t>Delays in calibrating the UB (and repairing the permutable) are the reason for having the standards so long, and hence measuring them twice.</t>
  </si>
  <si>
    <t>Range 7 results remain a problem for loss angle measurements, see 'Range7' worksheet.</t>
  </si>
  <si>
    <t>Therefore for reporting loss angle for the 1, 10 and 100 pF capacitors, use AH2700 results with UB uncertainties (for CMC compliance).</t>
  </si>
  <si>
    <t>As there is doubt about the 1 June loss angle measurements, only the 12 August results are reported</t>
  </si>
  <si>
    <t>As S21959</t>
  </si>
  <si>
    <t>Start with S21942b.xls as an up to date UB calculator for capacitance and loss angle</t>
  </si>
  <si>
    <t xml:space="preserve">Reference S21745_v3.xls for structure of previous calibration of the Olex capacitance box </t>
  </si>
  <si>
    <t>Modify labels in results, labelling box with dials A to E (slightly different from S21745)</t>
  </si>
  <si>
    <t>Update Zeros table in 'Universal Bridge' to pick up correct zeros from 'Results' page</t>
  </si>
  <si>
    <t>Note that E0 and D0 will likely have had a dial movement and so would not be identical</t>
  </si>
  <si>
    <t>Use trick of labelling with a slightly different frequency!!</t>
  </si>
  <si>
    <t>Build report page afresh, copying format from S21745.</t>
  </si>
  <si>
    <t>New value for UB1000 inserted in 'Unversal Bridge' sheet. Result of likely step change, see p.33 of UBIII</t>
  </si>
  <si>
    <t>Use 'connection definition' uncertainty as in S21745.</t>
  </si>
  <si>
    <t>Set capacitance temperature coefficient uncertainty as 70 ppm one sigma, based on manufacture's claim that coefficient is -140 ppm.</t>
  </si>
  <si>
    <t>Formula for series resistance mapping as conductance brought into uncertainty from S21745</t>
  </si>
  <si>
    <t>AH2700Results carries the AH2700 measurements of the 100 pF/step and 1pF/div dial.</t>
  </si>
  <si>
    <t>Report page now selectively uses AH2700 results for phase angle for 100 pF dial down.</t>
  </si>
  <si>
    <t>Update RoomLogger sheet from Planck1 logging system.</t>
  </si>
  <si>
    <t>GRhistory page now set up to display history graph for each setting by entering the dial label in the highlighted box.</t>
  </si>
  <si>
    <t>Conditions page just summarises temp and humidity.</t>
  </si>
  <si>
    <t>temperature</t>
  </si>
  <si>
    <t>As S21960</t>
  </si>
  <si>
    <t>Look to S21784checkedTJS for report formatting for the Muirhead inductors.</t>
  </si>
  <si>
    <t>Start with S1959final (for capacitance) as most up to date UB corrections etc.</t>
  </si>
  <si>
    <t>Universal Bridge page points to the relevant zeros in the Results page for these decade inductors.</t>
  </si>
  <si>
    <t>Results page has inductance data entered with suitable labels for processing.</t>
  </si>
  <si>
    <t>Insert Lreport page based on S21784 report format.</t>
  </si>
  <si>
    <t>Change uncertainty to point to ub_uncertainty block.</t>
  </si>
  <si>
    <t>Use the new labels consistent with the Results page</t>
  </si>
  <si>
    <t>Add Lhistory page to capture trends</t>
  </si>
  <si>
    <t>Uncertainty, row 61 effect of series resistance on loss angle of a capacitor</t>
  </si>
  <si>
    <t>Enter copper temperature coefficient in the parameters block</t>
  </si>
  <si>
    <t>Did not add 3 month change as an uncertainty (c.f.S21784). Assume client will monitor history/stability.</t>
  </si>
  <si>
    <t>Add CMC for inductors block at far right of Uncertainty page.</t>
  </si>
  <si>
    <t>Capacitor worksheets grouped away from inductor worksheets.</t>
  </si>
  <si>
    <t>As S1997</t>
  </si>
  <si>
    <t>Temperature</t>
  </si>
  <si>
    <t>xdial</t>
  </si>
  <si>
    <t>rdial</t>
  </si>
  <si>
    <r>
      <rPr>
        <sz val="10"/>
        <rFont val="Calibri"/>
        <family val="2"/>
      </rPr>
      <t>°</t>
    </r>
    <r>
      <rPr>
        <sz val="10"/>
        <rFont val="Arial"/>
        <family val="2"/>
      </rPr>
      <t>C</t>
    </r>
  </si>
  <si>
    <t>coax zero</t>
  </si>
  <si>
    <t>1.6k</t>
  </si>
  <si>
    <t>Nominal Frequency</t>
  </si>
  <si>
    <t>Transition to python analysis</t>
  </si>
  <si>
    <t>Note that the item names 'coax zero' and 'coax open' are reserved names.</t>
  </si>
  <si>
    <t>There should be a zero/open for each range and nominal frequency that is used.</t>
  </si>
  <si>
    <t>In some cases there will be alternative zeros specific to the UUT that are subtracted instead.</t>
  </si>
  <si>
    <t>The zero or open dial readings are calculated as an immittance to be subtracted from the measured immittances.</t>
  </si>
  <si>
    <t>1 sigma uncertainties from specifications</t>
  </si>
  <si>
    <t>u</t>
  </si>
  <si>
    <t>df</t>
  </si>
  <si>
    <t>Temp coeff R</t>
  </si>
  <si>
    <t>Data from lab book</t>
  </si>
  <si>
    <t>Data from specifications and other sources</t>
  </si>
  <si>
    <t>Other</t>
  </si>
  <si>
    <t>xDial</t>
  </si>
  <si>
    <t>rDial</t>
  </si>
  <si>
    <t>frequency</t>
  </si>
  <si>
    <t>utemp</t>
  </si>
  <si>
    <t>dftemp</t>
  </si>
  <si>
    <t>ualphax</t>
  </si>
  <si>
    <t>dfalphax</t>
  </si>
  <si>
    <t>ualphar</t>
  </si>
  <si>
    <t>alphar</t>
  </si>
  <si>
    <t>dfalphr</t>
  </si>
  <si>
    <t>x</t>
  </si>
  <si>
    <t>ux</t>
  </si>
  <si>
    <t>kx</t>
  </si>
  <si>
    <t>r</t>
  </si>
  <si>
    <t>ur</t>
  </si>
  <si>
    <t>kr</t>
  </si>
  <si>
    <t>cmcx</t>
  </si>
  <si>
    <t>cmcr</t>
  </si>
  <si>
    <t>ux/cmcx</t>
  </si>
  <si>
    <t>ur/cmcr</t>
  </si>
  <si>
    <t>label</t>
  </si>
  <si>
    <t>Serial
Number</t>
  </si>
  <si>
    <t>alphax</t>
  </si>
  <si>
    <t>An essentially standalone python calculation takes data from 'pyUBreadings' to 'pyUBresults' from which a report is made in 'pyReport'.</t>
  </si>
  <si>
    <t>py4284readings' contains results from the HP4284 as a cross-check, but not contributing directly to the report.</t>
  </si>
  <si>
    <t>At the same time the data has also been copied into 'excelResults' and this has been processed, with minor updates, to give the report in 'Lreport'.</t>
  </si>
  <si>
    <t>This uses UB constants and calculation in the 'Universal Bridge' sheet, with uncertainties calculated in the 'Uncertainty' sheet.</t>
  </si>
  <si>
    <t>As S22012</t>
  </si>
  <si>
    <t>For the Babcock Muirhead capacitors.</t>
  </si>
  <si>
    <t>Capacitors</t>
  </si>
  <si>
    <t>Template for capacitors</t>
  </si>
  <si>
    <t>Babcock Muihead Capacitors</t>
  </si>
  <si>
    <t>Babcock</t>
  </si>
  <si>
    <t>GR1000A</t>
  </si>
  <si>
    <t>GR1000B</t>
  </si>
  <si>
    <t>M1</t>
  </si>
  <si>
    <t>M1zero</t>
  </si>
  <si>
    <t>M0.1</t>
  </si>
  <si>
    <t>M0.1zero</t>
  </si>
  <si>
    <t>M0.01</t>
  </si>
  <si>
    <t>M0.01zero</t>
  </si>
  <si>
    <t>M0.001</t>
  </si>
  <si>
    <t>M0.001zero</t>
  </si>
  <si>
    <t>M0.0005</t>
  </si>
  <si>
    <t>M0.0005zero</t>
  </si>
  <si>
    <t>M11.6k</t>
  </si>
  <si>
    <t>M0.11.6k</t>
  </si>
  <si>
    <t>M0.011.6k</t>
  </si>
  <si>
    <t>M0.0011.6k</t>
  </si>
  <si>
    <t>M0.00051.6k</t>
  </si>
  <si>
    <t>Nominal Value
(µF)</t>
  </si>
  <si>
    <t>Capacitance
(nF)</t>
  </si>
  <si>
    <t>S</t>
  </si>
  <si>
    <t>zero corrected cap</t>
  </si>
  <si>
    <t>zero corrected G</t>
  </si>
  <si>
    <t>tan delta</t>
  </si>
  <si>
    <t>Expanded Uncertainty
(nF)</t>
  </si>
  <si>
    <t>Loss Angle
(mrad)</t>
  </si>
  <si>
    <t>Expanded Uncertainty
(mrad)</t>
  </si>
  <si>
    <t>Temp coeff C</t>
  </si>
  <si>
    <t>Enter, say, 5 ppp as 5e-6</t>
  </si>
  <si>
    <t>series R</t>
  </si>
  <si>
    <t>uG</t>
  </si>
  <si>
    <t>uC(nF)</t>
  </si>
  <si>
    <t>definition, 0.1 pF</t>
  </si>
  <si>
    <t>Post processing to cope with loss angle calculations and a 0.1 pF definition uncertainty.</t>
  </si>
  <si>
    <t>Differences</t>
  </si>
  <si>
    <t>All Python</t>
  </si>
  <si>
    <t>Python plus excel approximations</t>
  </si>
  <si>
    <t>S22175</t>
  </si>
  <si>
    <t>MSLJOB-3203</t>
  </si>
  <si>
    <t>pasted from muirhead_tand.xlsx</t>
  </si>
  <si>
    <t>pasted from muir_capResults.xlsx</t>
  </si>
  <si>
    <t>As S22175</t>
  </si>
  <si>
    <t>Delete inductance pages</t>
  </si>
  <si>
    <t>Create history for this muirhead set</t>
  </si>
  <si>
    <t>1.0 µF</t>
  </si>
  <si>
    <t>0.1 µF</t>
  </si>
  <si>
    <t>0.01 µF</t>
  </si>
  <si>
    <t>0.001µF</t>
  </si>
  <si>
    <t>0.0005 µF</t>
  </si>
  <si>
    <t>1 μF</t>
  </si>
  <si>
    <t>100 nF</t>
  </si>
  <si>
    <t>10 nF</t>
  </si>
  <si>
    <t>1 nF</t>
  </si>
  <si>
    <t>500 pF</t>
  </si>
  <si>
    <t>Cap</t>
  </si>
  <si>
    <t>Ucap</t>
  </si>
  <si>
    <t>loss</t>
  </si>
  <si>
    <t>Uloss</t>
  </si>
  <si>
    <t>S21067</t>
  </si>
  <si>
    <t>S21438</t>
  </si>
  <si>
    <t>S21986</t>
  </si>
  <si>
    <t>S21759</t>
  </si>
  <si>
    <t>This spreadsheet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</si>
</sst>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64" formatCode="0.00000"/>
    <numFmt numFmtId="165" formatCode="0.000000"/>
    <numFmt numFmtId="167" formatCode="0.000"/>
    <numFmt numFmtId="168" formatCode="0.0000"/>
    <numFmt numFmtId="169" formatCode="0.0E+00"/>
    <numFmt numFmtId="172" formatCode="0.0"/>
    <numFmt numFmtId="177" formatCode="0.00_)"/>
    <numFmt numFmtId="178" formatCode="0.000_)"/>
    <numFmt numFmtId="180" formatCode="0.0000_)"/>
    <numFmt numFmtId="181" formatCode="0.00000_)"/>
    <numFmt numFmtId="184" formatCode="0.00000E+00"/>
    <numFmt numFmtId="186" formatCode="0.0000000"/>
    <numFmt numFmtId="187" formatCode="#0.0\ \ \ \ "/>
    <numFmt numFmtId="188" formatCode="#0.00\ \ "/>
    <numFmt numFmtId="189" formatCode="0.000000\ \ \ \ "/>
    <numFmt numFmtId="190" formatCode="0.000000\ \ \ "/>
    <numFmt numFmtId="191" formatCode="#0.0\ \ \ \ \ "/>
    <numFmt numFmtId="192" formatCode="#0.00\ \ \ "/>
    <numFmt numFmtId="193" formatCode="#0.0\ \ \ \ \ \ \ \ \ \ "/>
    <numFmt numFmtId="194" formatCode="#0.00\ \ \ \ \ \ \ \ "/>
    <numFmt numFmtId="195" formatCode="#0.000\ \ \ \ \ \ "/>
    <numFmt numFmtId="196" formatCode="#0.0000\ \ \ \ "/>
    <numFmt numFmtId="197" formatCode="0.000\ \ \ \ \ "/>
    <numFmt numFmtId="198" formatCode="#0.00000\ \ \ \ \ \ "/>
    <numFmt numFmtId="199" formatCode="#0.0000\ \ \ \ \ \ \ \ "/>
    <numFmt numFmtId="200" formatCode="#0.000\ \ \ \ \ \ \ \ \ \ "/>
    <numFmt numFmtId="201" formatCode="0.00\ \ \ \ \ \ \ "/>
  </numFmts>
  <fonts count="1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Calibri"/>
      <family val="2"/>
    </font>
    <font>
      <i/>
      <sz val="10"/>
      <name val="Times New Roman"/>
      <family val="1"/>
    </font>
    <font>
      <sz val="11"/>
      <name val="Times New Roman"/>
      <family val="1"/>
      <charset val="1"/>
    </font>
  </fonts>
  <fills count="10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6337778862885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 applyBorder="0"/>
    <xf numFmtId="0" fontId="3" fillId="0" borderId="0" applyNumberFormat="0" applyFill="0" applyBorder="0" applyAlignment="0" applyProtection="0"/>
  </cellStyleXfs>
  <cellXfs count="7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Border="1"/>
    <xf numFmtId="0" fontId="0" fillId="2" borderId="0" xfId="0" applyFill="1"/>
    <xf numFmtId="178" fontId="0" fillId="0" borderId="0" xfId="0" applyNumberFormat="1"/>
    <xf numFmtId="167" fontId="0" fillId="0" borderId="0" xfId="0" applyNumberFormat="1"/>
    <xf numFmtId="0" fontId="0" fillId="3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14" fontId="1" fillId="0" borderId="0" xfId="0" applyNumberFormat="1" applyFont="1" applyAlignment="1">
      <alignment horizontal="center"/>
    </xf>
    <xf numFmtId="2" fontId="0" fillId="0" borderId="0" xfId="0" applyNumberFormat="1"/>
    <xf numFmtId="0" fontId="3" fillId="0" borderId="0" xfId="0" applyFont="1" applyAlignment="1">
      <alignment horizontal="left"/>
    </xf>
    <xf numFmtId="172" fontId="0" fillId="0" borderId="0" xfId="0" applyNumberFormat="1"/>
    <xf numFmtId="0" fontId="0" fillId="5" borderId="5" xfId="0" applyFill="1" applyBorder="1" applyProtection="1">
      <protection locked="0"/>
    </xf>
    <xf numFmtId="0" fontId="0" fillId="6" borderId="0" xfId="0" applyFill="1"/>
    <xf numFmtId="168" fontId="0" fillId="0" borderId="0" xfId="0" applyNumberFormat="1"/>
    <xf numFmtId="0" fontId="4" fillId="6" borderId="0" xfId="0" applyFont="1" applyFill="1"/>
    <xf numFmtId="0" fontId="0" fillId="2" borderId="0" xfId="0" applyFill="1" applyAlignment="1">
      <alignment horizontal="left"/>
    </xf>
    <xf numFmtId="15" fontId="4" fillId="6" borderId="0" xfId="0" applyNumberFormat="1" applyFont="1" applyFill="1" applyAlignment="1">
      <alignment horizontal="left"/>
    </xf>
    <xf numFmtId="0" fontId="0" fillId="5" borderId="5" xfId="0" applyFill="1" applyBorder="1"/>
    <xf numFmtId="169" fontId="4" fillId="5" borderId="5" xfId="0" applyNumberFormat="1" applyFont="1" applyFill="1" applyBorder="1" applyAlignment="1">
      <alignment horizontal="center"/>
    </xf>
    <xf numFmtId="177" fontId="0" fillId="0" borderId="0" xfId="0" applyNumberFormat="1"/>
    <xf numFmtId="180" fontId="0" fillId="0" borderId="0" xfId="0" applyNumberFormat="1"/>
    <xf numFmtId="11" fontId="0" fillId="0" borderId="0" xfId="0" applyNumberFormat="1"/>
    <xf numFmtId="0" fontId="2" fillId="0" borderId="0" xfId="0" applyFont="1"/>
    <xf numFmtId="0" fontId="2" fillId="3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6" borderId="0" xfId="0" applyFont="1" applyFill="1"/>
    <xf numFmtId="0" fontId="6" fillId="0" borderId="0" xfId="0" applyFont="1" applyAlignment="1">
      <alignment horizontal="center"/>
    </xf>
    <xf numFmtId="0" fontId="7" fillId="0" borderId="0" xfId="0" applyFont="1"/>
    <xf numFmtId="0" fontId="0" fillId="8" borderId="0" xfId="0" applyFill="1"/>
    <xf numFmtId="0" fontId="2" fillId="2" borderId="0" xfId="0" applyFont="1" applyFill="1" applyAlignment="1">
      <alignment horizontal="left"/>
    </xf>
    <xf numFmtId="0" fontId="0" fillId="6" borderId="0" xfId="0" applyFill="1" applyAlignment="1">
      <alignment horizontal="left"/>
    </xf>
    <xf numFmtId="0" fontId="2" fillId="2" borderId="5" xfId="0" applyFont="1" applyFill="1" applyBorder="1" applyAlignment="1">
      <alignment horizontal="center"/>
    </xf>
    <xf numFmtId="164" fontId="0" fillId="0" borderId="0" xfId="0" applyNumberFormat="1"/>
    <xf numFmtId="0" fontId="0" fillId="5" borderId="5" xfId="0" applyFill="1" applyBorder="1" applyAlignment="1" applyProtection="1">
      <alignment horizontal="right"/>
      <protection locked="0"/>
    </xf>
    <xf numFmtId="184" fontId="0" fillId="5" borderId="5" xfId="0" applyNumberFormat="1" applyFill="1" applyBorder="1" applyProtection="1">
      <protection locked="0"/>
    </xf>
    <xf numFmtId="0" fontId="2" fillId="3" borderId="2" xfId="0" applyFont="1" applyFill="1" applyBorder="1" applyAlignment="1">
      <alignment horizontal="center"/>
    </xf>
    <xf numFmtId="0" fontId="0" fillId="5" borderId="8" xfId="0" applyFill="1" applyBorder="1"/>
    <xf numFmtId="0" fontId="2" fillId="5" borderId="8" xfId="0" applyFont="1" applyFill="1" applyBorder="1" applyAlignment="1">
      <alignment horizontal="center"/>
    </xf>
    <xf numFmtId="0" fontId="0" fillId="9" borderId="7" xfId="0" applyFill="1" applyBorder="1"/>
    <xf numFmtId="0" fontId="2" fillId="9" borderId="7" xfId="0" applyFont="1" applyFill="1" applyBorder="1"/>
    <xf numFmtId="1" fontId="0" fillId="9" borderId="7" xfId="0" applyNumberFormat="1" applyFill="1" applyBorder="1" applyAlignment="1">
      <alignment horizontal="center"/>
    </xf>
    <xf numFmtId="11" fontId="0" fillId="9" borderId="7" xfId="0" applyNumberFormat="1" applyFill="1" applyBorder="1"/>
    <xf numFmtId="165" fontId="0" fillId="0" borderId="0" xfId="0" applyNumberFormat="1"/>
    <xf numFmtId="186" fontId="0" fillId="0" borderId="0" xfId="0" applyNumberFormat="1"/>
    <xf numFmtId="0" fontId="0" fillId="7" borderId="0" xfId="0" applyFill="1"/>
    <xf numFmtId="187" fontId="6" fillId="0" borderId="0" xfId="0" applyNumberFormat="1" applyFont="1" applyBorder="1" applyAlignment="1">
      <alignment horizontal="right"/>
    </xf>
    <xf numFmtId="188" fontId="6" fillId="0" borderId="0" xfId="0" applyNumberFormat="1" applyFont="1" applyBorder="1" applyAlignment="1">
      <alignment horizontal="right"/>
    </xf>
    <xf numFmtId="172" fontId="6" fillId="0" borderId="0" xfId="0" applyNumberFormat="1" applyFont="1" applyAlignment="1">
      <alignment horizontal="center"/>
    </xf>
    <xf numFmtId="189" fontId="6" fillId="0" borderId="0" xfId="0" applyNumberFormat="1" applyFont="1" applyAlignment="1">
      <alignment horizontal="right"/>
    </xf>
    <xf numFmtId="0" fontId="2" fillId="0" borderId="0" xfId="0" quotePrefix="1" applyFont="1"/>
    <xf numFmtId="187" fontId="6" fillId="0" borderId="0" xfId="0" applyNumberFormat="1" applyFont="1" applyBorder="1" applyAlignment="1">
      <alignment horizontal="right" indent="1"/>
    </xf>
    <xf numFmtId="188" fontId="6" fillId="0" borderId="0" xfId="0" applyNumberFormat="1" applyFont="1" applyBorder="1" applyAlignment="1">
      <alignment horizontal="right" indent="1"/>
    </xf>
    <xf numFmtId="190" fontId="6" fillId="0" borderId="0" xfId="0" applyNumberFormat="1" applyFont="1" applyAlignment="1">
      <alignment horizontal="right" indent="1"/>
    </xf>
    <xf numFmtId="191" fontId="6" fillId="0" borderId="0" xfId="0" applyNumberFormat="1" applyFont="1" applyBorder="1" applyAlignment="1">
      <alignment horizontal="right" indent="1"/>
    </xf>
    <xf numFmtId="192" fontId="6" fillId="0" borderId="0" xfId="0" applyNumberFormat="1" applyFont="1" applyBorder="1" applyAlignment="1">
      <alignment horizontal="right" indent="1"/>
    </xf>
    <xf numFmtId="0" fontId="0" fillId="5" borderId="7" xfId="0" applyFill="1" applyBorder="1" applyAlignment="1" applyProtection="1">
      <alignment horizontal="center"/>
      <protection locked="0"/>
    </xf>
    <xf numFmtId="0" fontId="2" fillId="5" borderId="7" xfId="0" applyFont="1" applyFill="1" applyBorder="1" applyAlignment="1" applyProtection="1">
      <alignment horizontal="center"/>
      <protection locked="0"/>
    </xf>
    <xf numFmtId="193" fontId="6" fillId="0" borderId="0" xfId="0" applyNumberFormat="1" applyFont="1" applyBorder="1" applyAlignment="1">
      <alignment horizontal="right"/>
    </xf>
    <xf numFmtId="194" fontId="6" fillId="0" borderId="0" xfId="0" applyNumberFormat="1" applyFont="1" applyBorder="1" applyAlignment="1">
      <alignment horizontal="right"/>
    </xf>
    <xf numFmtId="195" fontId="6" fillId="0" borderId="0" xfId="0" applyNumberFormat="1" applyFont="1" applyBorder="1" applyAlignment="1">
      <alignment horizontal="right"/>
    </xf>
    <xf numFmtId="196" fontId="6" fillId="0" borderId="0" xfId="0" applyNumberFormat="1" applyFont="1" applyBorder="1" applyAlignment="1">
      <alignment horizontal="right"/>
    </xf>
    <xf numFmtId="197" fontId="6" fillId="0" borderId="0" xfId="0" applyNumberFormat="1" applyFont="1" applyAlignment="1">
      <alignment horizontal="right" indent="1"/>
    </xf>
    <xf numFmtId="198" fontId="6" fillId="0" borderId="0" xfId="0" applyNumberFormat="1" applyFont="1" applyBorder="1" applyAlignment="1">
      <alignment horizontal="right"/>
    </xf>
    <xf numFmtId="199" fontId="6" fillId="0" borderId="0" xfId="0" applyNumberFormat="1" applyFont="1" applyBorder="1" applyAlignment="1">
      <alignment horizontal="right"/>
    </xf>
    <xf numFmtId="200" fontId="6" fillId="0" borderId="0" xfId="0" applyNumberFormat="1" applyFont="1" applyBorder="1" applyAlignment="1">
      <alignment horizontal="right"/>
    </xf>
    <xf numFmtId="0" fontId="6" fillId="0" borderId="9" xfId="0" applyFont="1" applyBorder="1" applyAlignment="1">
      <alignment horizontal="center" vertical="top" wrapText="1"/>
    </xf>
    <xf numFmtId="0" fontId="11" fillId="0" borderId="9" xfId="0" applyFont="1" applyBorder="1" applyAlignment="1">
      <alignment horizontal="center" vertical="top" wrapText="1"/>
    </xf>
    <xf numFmtId="201" fontId="6" fillId="0" borderId="0" xfId="0" applyNumberFormat="1" applyFont="1" applyAlignment="1">
      <alignment horizontal="right" indent="1"/>
    </xf>
    <xf numFmtId="0" fontId="2" fillId="8" borderId="0" xfId="0" applyFont="1" applyFill="1"/>
    <xf numFmtId="184" fontId="0" fillId="7" borderId="0" xfId="0" applyNumberFormat="1" applyFill="1"/>
    <xf numFmtId="0" fontId="12" fillId="0" borderId="1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181" fontId="0" fillId="0" borderId="0" xfId="0" applyNumberFormat="1"/>
  </cellXfs>
  <cellStyles count="2">
    <cellStyle name="Heading 2" xfId="1" builtinId="17" customBuiltin="1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CapHist!$D$4</c:f>
          <c:strCache>
            <c:ptCount val="1"/>
            <c:pt idx="0">
              <c:v>1 μF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CapHist!$E$6:$E$10</c:f>
                <c:numCache>
                  <c:formatCode>General</c:formatCode>
                  <c:ptCount val="5"/>
                  <c:pt idx="0">
                    <c:v>1.2E-4</c:v>
                  </c:pt>
                  <c:pt idx="1">
                    <c:v>1.2E-4</c:v>
                  </c:pt>
                  <c:pt idx="2">
                    <c:v>6.0000000000000002E-5</c:v>
                  </c:pt>
                  <c:pt idx="3">
                    <c:v>6.6167070953980205E-5</c:v>
                  </c:pt>
                  <c:pt idx="4">
                    <c:v>7.1465408839252811E-5</c:v>
                  </c:pt>
                </c:numCache>
              </c:numRef>
            </c:plus>
            <c:minus>
              <c:numRef>
                <c:f>CapHist!$E$6:$E$10</c:f>
                <c:numCache>
                  <c:formatCode>General</c:formatCode>
                  <c:ptCount val="5"/>
                  <c:pt idx="0">
                    <c:v>1.2E-4</c:v>
                  </c:pt>
                  <c:pt idx="1">
                    <c:v>1.2E-4</c:v>
                  </c:pt>
                  <c:pt idx="2">
                    <c:v>6.0000000000000002E-5</c:v>
                  </c:pt>
                  <c:pt idx="3">
                    <c:v>6.6167070953980205E-5</c:v>
                  </c:pt>
                  <c:pt idx="4">
                    <c:v>7.1465408839252811E-5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CapHist!$C$6:$C$10</c:f>
              <c:numCache>
                <c:formatCode>m/d/yyyy</c:formatCode>
                <c:ptCount val="5"/>
                <c:pt idx="0">
                  <c:v>34982</c:v>
                </c:pt>
                <c:pt idx="1">
                  <c:v>37224</c:v>
                </c:pt>
                <c:pt idx="2">
                  <c:v>40239</c:v>
                </c:pt>
                <c:pt idx="3">
                  <c:v>42614</c:v>
                </c:pt>
                <c:pt idx="4">
                  <c:v>45819</c:v>
                </c:pt>
              </c:numCache>
            </c:numRef>
          </c:xVal>
          <c:yVal>
            <c:numRef>
              <c:f>CapHist!$D$6:$D$10</c:f>
              <c:numCache>
                <c:formatCode>0.00000_)</c:formatCode>
                <c:ptCount val="5"/>
                <c:pt idx="0">
                  <c:v>0.99984898120800003</c:v>
                </c:pt>
                <c:pt idx="1">
                  <c:v>0.99982965725120398</c:v>
                </c:pt>
                <c:pt idx="2">
                  <c:v>0.99984393288559803</c:v>
                </c:pt>
                <c:pt idx="3" formatCode="0.00000">
                  <c:v>0.99987199400294302</c:v>
                </c:pt>
                <c:pt idx="4" formatCode="0.00000">
                  <c:v>0.99990554982085122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55-4BD5-BF07-EEDF04BF4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1855951"/>
        <c:axId val="1521837231"/>
      </c:scatterChart>
      <c:valAx>
        <c:axId val="1521855951"/>
        <c:scaling>
          <c:orientation val="minMax"/>
          <c:max val="47000"/>
          <c:min val="3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837231"/>
        <c:crosses val="autoZero"/>
        <c:crossBetween val="midCat"/>
      </c:valAx>
      <c:valAx>
        <c:axId val="152183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855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CapHist!$C$13:$C$17</c:f>
              <c:numCache>
                <c:formatCode>m/d/yyyy</c:formatCode>
                <c:ptCount val="5"/>
                <c:pt idx="0">
                  <c:v>34982</c:v>
                </c:pt>
                <c:pt idx="1">
                  <c:v>37224</c:v>
                </c:pt>
                <c:pt idx="2">
                  <c:v>40239</c:v>
                </c:pt>
                <c:pt idx="3">
                  <c:v>42614</c:v>
                </c:pt>
                <c:pt idx="4">
                  <c:v>45819</c:v>
                </c:pt>
              </c:numCache>
            </c:numRef>
          </c:xVal>
          <c:yVal>
            <c:numRef>
              <c:f>CapHist!$L$13:$L$17</c:f>
              <c:numCache>
                <c:formatCode>0.0</c:formatCode>
                <c:ptCount val="5"/>
                <c:pt idx="0">
                  <c:v>-735.00000000004115</c:v>
                </c:pt>
                <c:pt idx="1">
                  <c:v>-719.99999999994293</c:v>
                </c:pt>
                <c:pt idx="2">
                  <c:v>-788.1113219759817</c:v>
                </c:pt>
                <c:pt idx="3">
                  <c:v>-729.04807178397755</c:v>
                </c:pt>
                <c:pt idx="4">
                  <c:v>-738.50914820161597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BF-4FDB-A20E-A0D6C9FF3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3237615"/>
        <c:axId val="913238095"/>
      </c:scatterChart>
      <c:valAx>
        <c:axId val="913237615"/>
        <c:scaling>
          <c:orientation val="minMax"/>
          <c:max val="47000"/>
          <c:min val="3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238095"/>
        <c:crosses val="autoZero"/>
        <c:crossBetween val="midCat"/>
      </c:valAx>
      <c:valAx>
        <c:axId val="91323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237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CapHist!$H$4</c:f>
          <c:strCache>
            <c:ptCount val="1"/>
            <c:pt idx="0">
              <c:v>100 nF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CapHist!$I$6:$I$10</c:f>
                <c:numCache>
                  <c:formatCode>General</c:formatCode>
                  <c:ptCount val="5"/>
                  <c:pt idx="0">
                    <c:v>1.2349221373891999E-2</c:v>
                  </c:pt>
                  <c:pt idx="1">
                    <c:v>1.23695848635231E-2</c:v>
                  </c:pt>
                  <c:pt idx="2">
                    <c:v>6.0000000000000001E-3</c:v>
                  </c:pt>
                  <c:pt idx="3">
                    <c:v>6.6244554303231404E-3</c:v>
                  </c:pt>
                  <c:pt idx="4">
                    <c:v>6.6402115450588774E-3</c:v>
                  </c:pt>
                </c:numCache>
              </c:numRef>
            </c:plus>
            <c:minus>
              <c:numRef>
                <c:f>CapHist!$I$6:$I$10</c:f>
                <c:numCache>
                  <c:formatCode>General</c:formatCode>
                  <c:ptCount val="5"/>
                  <c:pt idx="0">
                    <c:v>1.2349221373891999E-2</c:v>
                  </c:pt>
                  <c:pt idx="1">
                    <c:v>1.23695848635231E-2</c:v>
                  </c:pt>
                  <c:pt idx="2">
                    <c:v>6.0000000000000001E-3</c:v>
                  </c:pt>
                  <c:pt idx="3">
                    <c:v>6.6244554303231404E-3</c:v>
                  </c:pt>
                  <c:pt idx="4">
                    <c:v>6.6402115450588774E-3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CapHist!$C$6:$C$10</c:f>
              <c:numCache>
                <c:formatCode>m/d/yyyy</c:formatCode>
                <c:ptCount val="5"/>
                <c:pt idx="0">
                  <c:v>34982</c:v>
                </c:pt>
                <c:pt idx="1">
                  <c:v>37224</c:v>
                </c:pt>
                <c:pt idx="2">
                  <c:v>40239</c:v>
                </c:pt>
                <c:pt idx="3">
                  <c:v>42614</c:v>
                </c:pt>
                <c:pt idx="4">
                  <c:v>45819</c:v>
                </c:pt>
              </c:numCache>
            </c:numRef>
          </c:xVal>
          <c:yVal>
            <c:numRef>
              <c:f>CapHist!$H$6:$H$10</c:f>
              <c:numCache>
                <c:formatCode>0.000_)</c:formatCode>
                <c:ptCount val="5"/>
                <c:pt idx="0">
                  <c:v>100.0905066744</c:v>
                </c:pt>
                <c:pt idx="1">
                  <c:v>100.09067333674101</c:v>
                </c:pt>
                <c:pt idx="2">
                  <c:v>100.09700116478299</c:v>
                </c:pt>
                <c:pt idx="3" formatCode="0.000">
                  <c:v>100.103507542209</c:v>
                </c:pt>
                <c:pt idx="4" formatCode="0.000">
                  <c:v>100.1101659334807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5B-40EE-817F-BD7D049D8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1855951"/>
        <c:axId val="1521837231"/>
      </c:scatterChart>
      <c:valAx>
        <c:axId val="1521855951"/>
        <c:scaling>
          <c:orientation val="minMax"/>
          <c:max val="47000"/>
          <c:min val="3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837231"/>
        <c:crosses val="autoZero"/>
        <c:crossBetween val="midCat"/>
      </c:valAx>
      <c:valAx>
        <c:axId val="152183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855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CapHist!$L$4</c:f>
          <c:strCache>
            <c:ptCount val="1"/>
            <c:pt idx="0">
              <c:v>10 nF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CapHist!$M$6:$M$10</c:f>
                <c:numCache>
                  <c:formatCode>General</c:formatCode>
                  <c:ptCount val="5"/>
                  <c:pt idx="0">
                    <c:v>1.51448563474422E-3</c:v>
                  </c:pt>
                  <c:pt idx="1">
                    <c:v>1.51448563474422E-3</c:v>
                  </c:pt>
                  <c:pt idx="2">
                    <c:v>6.9999999999999999E-4</c:v>
                  </c:pt>
                  <c:pt idx="3">
                    <c:v>6.6133367932442403E-4</c:v>
                  </c:pt>
                  <c:pt idx="4">
                    <c:v>6.4882591741442547E-4</c:v>
                  </c:pt>
                </c:numCache>
              </c:numRef>
            </c:plus>
            <c:minus>
              <c:numRef>
                <c:f>CapHist!$M$6:$M$10</c:f>
                <c:numCache>
                  <c:formatCode>General</c:formatCode>
                  <c:ptCount val="5"/>
                  <c:pt idx="0">
                    <c:v>1.51448563474422E-3</c:v>
                  </c:pt>
                  <c:pt idx="1">
                    <c:v>1.51448563474422E-3</c:v>
                  </c:pt>
                  <c:pt idx="2">
                    <c:v>6.9999999999999999E-4</c:v>
                  </c:pt>
                  <c:pt idx="3">
                    <c:v>6.6133367932442403E-4</c:v>
                  </c:pt>
                  <c:pt idx="4">
                    <c:v>6.4882591741442547E-4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CapHist!$C$6:$C$10</c:f>
              <c:numCache>
                <c:formatCode>m/d/yyyy</c:formatCode>
                <c:ptCount val="5"/>
                <c:pt idx="0">
                  <c:v>34982</c:v>
                </c:pt>
                <c:pt idx="1">
                  <c:v>37224</c:v>
                </c:pt>
                <c:pt idx="2">
                  <c:v>40239</c:v>
                </c:pt>
                <c:pt idx="3">
                  <c:v>42614</c:v>
                </c:pt>
                <c:pt idx="4">
                  <c:v>45819</c:v>
                </c:pt>
              </c:numCache>
            </c:numRef>
          </c:xVal>
          <c:yVal>
            <c:numRef>
              <c:f>CapHist!$L$6:$L$10</c:f>
              <c:numCache>
                <c:formatCode>0.0000_)</c:formatCode>
                <c:ptCount val="5"/>
                <c:pt idx="0">
                  <c:v>9.9926499999999994</c:v>
                </c:pt>
                <c:pt idx="1">
                  <c:v>9.9928000000000008</c:v>
                </c:pt>
                <c:pt idx="2">
                  <c:v>9.99211888678024</c:v>
                </c:pt>
                <c:pt idx="3" formatCode="0.0000">
                  <c:v>9.99270951928216</c:v>
                </c:pt>
                <c:pt idx="4" formatCode="0.0000">
                  <c:v>9.9926149085179841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83-47F0-92E7-E10C6F121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1855951"/>
        <c:axId val="1521837231"/>
      </c:scatterChart>
      <c:valAx>
        <c:axId val="1521855951"/>
        <c:scaling>
          <c:orientation val="minMax"/>
          <c:max val="47000"/>
          <c:min val="3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837231"/>
        <c:crosses val="autoZero"/>
        <c:crossBetween val="midCat"/>
      </c:valAx>
      <c:valAx>
        <c:axId val="152183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855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CapHist!$P$4</c:f>
          <c:strCache>
            <c:ptCount val="1"/>
            <c:pt idx="0">
              <c:v>1 nF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CapHist!$Q$6:$Q$10</c:f>
                <c:numCache>
                  <c:formatCode>General</c:formatCode>
                  <c:ptCount val="5"/>
                  <c:pt idx="0">
                    <c:v>1.8139725258074801E-4</c:v>
                  </c:pt>
                  <c:pt idx="1">
                    <c:v>1.8139725258074801E-4</c:v>
                  </c:pt>
                  <c:pt idx="2">
                    <c:v>1.2E-4</c:v>
                  </c:pt>
                  <c:pt idx="3">
                    <c:v>1.3006943735083802E-4</c:v>
                  </c:pt>
                  <c:pt idx="4">
                    <c:v>1.274735775883661E-4</c:v>
                  </c:pt>
                </c:numCache>
              </c:numRef>
            </c:plus>
            <c:minus>
              <c:numRef>
                <c:f>CapHist!$Q$6:$Q$10</c:f>
                <c:numCache>
                  <c:formatCode>General</c:formatCode>
                  <c:ptCount val="5"/>
                  <c:pt idx="0">
                    <c:v>1.8139725258074801E-4</c:v>
                  </c:pt>
                  <c:pt idx="1">
                    <c:v>1.8139725258074801E-4</c:v>
                  </c:pt>
                  <c:pt idx="2">
                    <c:v>1.2E-4</c:v>
                  </c:pt>
                  <c:pt idx="3">
                    <c:v>1.3006943735083802E-4</c:v>
                  </c:pt>
                  <c:pt idx="4">
                    <c:v>1.274735775883661E-4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CapHist!$C$6:$C$10</c:f>
              <c:numCache>
                <c:formatCode>m/d/yyyy</c:formatCode>
                <c:ptCount val="5"/>
                <c:pt idx="0">
                  <c:v>34982</c:v>
                </c:pt>
                <c:pt idx="1">
                  <c:v>37224</c:v>
                </c:pt>
                <c:pt idx="2">
                  <c:v>40239</c:v>
                </c:pt>
                <c:pt idx="3">
                  <c:v>42614</c:v>
                </c:pt>
                <c:pt idx="4">
                  <c:v>45819</c:v>
                </c:pt>
              </c:numCache>
            </c:numRef>
          </c:xVal>
          <c:yVal>
            <c:numRef>
              <c:f>CapHist!$P$6:$P$10</c:f>
              <c:numCache>
                <c:formatCode>0.00000</c:formatCode>
                <c:ptCount val="5"/>
                <c:pt idx="0">
                  <c:v>0.98794400000000004</c:v>
                </c:pt>
                <c:pt idx="1">
                  <c:v>0.98795999999999995</c:v>
                </c:pt>
                <c:pt idx="2">
                  <c:v>0.98810980539087401</c:v>
                </c:pt>
                <c:pt idx="3">
                  <c:v>0.98812337959018204</c:v>
                </c:pt>
                <c:pt idx="4">
                  <c:v>0.98801305447536303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51-4D20-AD61-2EF3A975B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1855951"/>
        <c:axId val="1521837231"/>
      </c:scatterChart>
      <c:valAx>
        <c:axId val="1521855951"/>
        <c:scaling>
          <c:orientation val="minMax"/>
          <c:max val="47000"/>
          <c:min val="3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837231"/>
        <c:crosses val="autoZero"/>
        <c:crossBetween val="midCat"/>
      </c:valAx>
      <c:valAx>
        <c:axId val="152183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855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CapHist!$T$4</c:f>
          <c:strCache>
            <c:ptCount val="1"/>
            <c:pt idx="0">
              <c:v>500 pF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CapHist!$U$6:$U$10</c:f>
                <c:numCache>
                  <c:formatCode>General</c:formatCode>
                  <c:ptCount val="5"/>
                  <c:pt idx="0">
                    <c:v>0.134704893568276</c:v>
                  </c:pt>
                  <c:pt idx="1">
                    <c:v>0.134704893568276</c:v>
                  </c:pt>
                  <c:pt idx="2">
                    <c:v>0.11</c:v>
                  </c:pt>
                  <c:pt idx="3">
                    <c:v>0.124008519254815</c:v>
                  </c:pt>
                  <c:pt idx="4">
                    <c:v>0.1145861490917133</c:v>
                  </c:pt>
                </c:numCache>
              </c:numRef>
            </c:plus>
            <c:minus>
              <c:numRef>
                <c:f>CapHist!$U$6:$U$10</c:f>
                <c:numCache>
                  <c:formatCode>General</c:formatCode>
                  <c:ptCount val="5"/>
                  <c:pt idx="0">
                    <c:v>0.134704893568276</c:v>
                  </c:pt>
                  <c:pt idx="1">
                    <c:v>0.134704893568276</c:v>
                  </c:pt>
                  <c:pt idx="2">
                    <c:v>0.11</c:v>
                  </c:pt>
                  <c:pt idx="3">
                    <c:v>0.124008519254815</c:v>
                  </c:pt>
                  <c:pt idx="4">
                    <c:v>0.1145861490917133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CapHist!$C$6:$C$10</c:f>
              <c:numCache>
                <c:formatCode>m/d/yyyy</c:formatCode>
                <c:ptCount val="5"/>
                <c:pt idx="0">
                  <c:v>34982</c:v>
                </c:pt>
                <c:pt idx="1">
                  <c:v>37224</c:v>
                </c:pt>
                <c:pt idx="2">
                  <c:v>40239</c:v>
                </c:pt>
                <c:pt idx="3">
                  <c:v>42614</c:v>
                </c:pt>
                <c:pt idx="4">
                  <c:v>45819</c:v>
                </c:pt>
              </c:numCache>
            </c:numRef>
          </c:xVal>
          <c:yVal>
            <c:numRef>
              <c:f>CapHist!$T$6:$T$10</c:f>
              <c:numCache>
                <c:formatCode>0.00</c:formatCode>
                <c:ptCount val="5"/>
                <c:pt idx="0">
                  <c:v>490.4</c:v>
                </c:pt>
                <c:pt idx="1">
                  <c:v>490.43</c:v>
                </c:pt>
                <c:pt idx="2">
                  <c:v>490.54967980760102</c:v>
                </c:pt>
                <c:pt idx="3">
                  <c:v>490.54171822200198</c:v>
                </c:pt>
                <c:pt idx="4">
                  <c:v>490.52800245748364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3E-473E-9378-5BDAB50F3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1855951"/>
        <c:axId val="1521837231"/>
      </c:scatterChart>
      <c:valAx>
        <c:axId val="1521855951"/>
        <c:scaling>
          <c:orientation val="minMax"/>
          <c:max val="47000"/>
          <c:min val="3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837231"/>
        <c:crosses val="autoZero"/>
        <c:crossBetween val="midCat"/>
      </c:valAx>
      <c:valAx>
        <c:axId val="152183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855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18</xdr:row>
      <xdr:rowOff>15875</xdr:rowOff>
    </xdr:from>
    <xdr:to>
      <xdr:col>5</xdr:col>
      <xdr:colOff>333375</xdr:colOff>
      <xdr:row>35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EF123E-BE0A-A1BF-B2DF-6FDFABE437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133351</xdr:colOff>
      <xdr:row>1</xdr:row>
      <xdr:rowOff>142875</xdr:rowOff>
    </xdr:from>
    <xdr:to>
      <xdr:col>36</xdr:col>
      <xdr:colOff>73026</xdr:colOff>
      <xdr:row>18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688907-FD8D-5B43-1A29-D9B591FC73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95250</xdr:colOff>
      <xdr:row>37</xdr:row>
      <xdr:rowOff>114300</xdr:rowOff>
    </xdr:from>
    <xdr:to>
      <xdr:col>5</xdr:col>
      <xdr:colOff>292100</xdr:colOff>
      <xdr:row>54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8F7B32-A2C7-4627-AD5A-6AE7C47204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12</xdr:col>
      <xdr:colOff>53975</xdr:colOff>
      <xdr:row>34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DC23DD8-DAD8-4111-842F-214FF1CA9F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38</xdr:row>
      <xdr:rowOff>0</xdr:rowOff>
    </xdr:from>
    <xdr:to>
      <xdr:col>12</xdr:col>
      <xdr:colOff>53975</xdr:colOff>
      <xdr:row>54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43180DF-8757-4D94-BC8A-6FB34B3923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19</xdr:col>
      <xdr:colOff>539750</xdr:colOff>
      <xdr:row>35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AE5835E-800C-481B-B760-0A2085FC08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topLeftCell="A34" workbookViewId="0">
      <selection activeCell="H78" sqref="H78:H79"/>
    </sheetView>
  </sheetViews>
  <sheetFormatPr defaultRowHeight="12.5" x14ac:dyDescent="0.25"/>
  <sheetData>
    <row r="1" spans="1:1" x14ac:dyDescent="0.25">
      <c r="A1" s="25" t="s">
        <v>26</v>
      </c>
    </row>
    <row r="2" spans="1:1" x14ac:dyDescent="0.25">
      <c r="A2" t="s">
        <v>14</v>
      </c>
    </row>
    <row r="3" spans="1:1" x14ac:dyDescent="0.25">
      <c r="A3" t="s">
        <v>16</v>
      </c>
    </row>
    <row r="4" spans="1:1" x14ac:dyDescent="0.25">
      <c r="A4" t="s">
        <v>15</v>
      </c>
    </row>
    <row r="5" spans="1:1" x14ac:dyDescent="0.25">
      <c r="A5" t="s">
        <v>17</v>
      </c>
    </row>
    <row r="6" spans="1:1" x14ac:dyDescent="0.25">
      <c r="A6" t="s">
        <v>19</v>
      </c>
    </row>
    <row r="7" spans="1:1" x14ac:dyDescent="0.25">
      <c r="A7" t="s">
        <v>20</v>
      </c>
    </row>
    <row r="8" spans="1:1" x14ac:dyDescent="0.25">
      <c r="A8" t="s">
        <v>23</v>
      </c>
    </row>
    <row r="9" spans="1:1" x14ac:dyDescent="0.25">
      <c r="A9" t="s">
        <v>24</v>
      </c>
    </row>
    <row r="11" spans="1:1" x14ac:dyDescent="0.25">
      <c r="A11" s="25" t="s">
        <v>27</v>
      </c>
    </row>
    <row r="12" spans="1:1" x14ac:dyDescent="0.25">
      <c r="A12" s="25" t="s">
        <v>25</v>
      </c>
    </row>
    <row r="13" spans="1:1" x14ac:dyDescent="0.25">
      <c r="A13" s="25" t="s">
        <v>28</v>
      </c>
    </row>
    <row r="14" spans="1:1" x14ac:dyDescent="0.25">
      <c r="A14" s="25" t="s">
        <v>29</v>
      </c>
    </row>
    <row r="15" spans="1:1" x14ac:dyDescent="0.25">
      <c r="A15" s="25" t="s">
        <v>30</v>
      </c>
    </row>
    <row r="16" spans="1:1" x14ac:dyDescent="0.25">
      <c r="A16" s="25" t="s">
        <v>31</v>
      </c>
    </row>
    <row r="17" spans="1:1" x14ac:dyDescent="0.25">
      <c r="A17" s="25" t="s">
        <v>32</v>
      </c>
    </row>
    <row r="18" spans="1:1" x14ac:dyDescent="0.25">
      <c r="A18" s="25" t="s">
        <v>33</v>
      </c>
    </row>
    <row r="20" spans="1:1" x14ac:dyDescent="0.25">
      <c r="A20" s="25" t="s">
        <v>34</v>
      </c>
    </row>
    <row r="21" spans="1:1" x14ac:dyDescent="0.25">
      <c r="A21" s="25" t="s">
        <v>35</v>
      </c>
    </row>
    <row r="22" spans="1:1" x14ac:dyDescent="0.25">
      <c r="A22" s="25" t="s">
        <v>36</v>
      </c>
    </row>
    <row r="23" spans="1:1" x14ac:dyDescent="0.25">
      <c r="A23" s="25" t="s">
        <v>37</v>
      </c>
    </row>
    <row r="24" spans="1:1" x14ac:dyDescent="0.25">
      <c r="A24" s="25" t="s">
        <v>38</v>
      </c>
    </row>
    <row r="25" spans="1:1" x14ac:dyDescent="0.25">
      <c r="A25" s="25" t="s">
        <v>39</v>
      </c>
    </row>
    <row r="26" spans="1:1" x14ac:dyDescent="0.25">
      <c r="A26" s="25" t="s">
        <v>40</v>
      </c>
    </row>
    <row r="27" spans="1:1" x14ac:dyDescent="0.25">
      <c r="A27" s="25" t="s">
        <v>41</v>
      </c>
    </row>
    <row r="28" spans="1:1" x14ac:dyDescent="0.25">
      <c r="A28" s="31" t="s">
        <v>42</v>
      </c>
    </row>
    <row r="29" spans="1:1" x14ac:dyDescent="0.25">
      <c r="A29" s="25" t="s">
        <v>44</v>
      </c>
    </row>
    <row r="30" spans="1:1" x14ac:dyDescent="0.25">
      <c r="A30" s="25" t="s">
        <v>43</v>
      </c>
    </row>
    <row r="31" spans="1:1" x14ac:dyDescent="0.25">
      <c r="A31" s="25" t="s">
        <v>45</v>
      </c>
    </row>
    <row r="32" spans="1:1" x14ac:dyDescent="0.25">
      <c r="A32" s="25" t="s">
        <v>46</v>
      </c>
    </row>
    <row r="33" spans="1:1" x14ac:dyDescent="0.25">
      <c r="A33" s="25" t="s">
        <v>47</v>
      </c>
    </row>
    <row r="34" spans="1:1" x14ac:dyDescent="0.25">
      <c r="A34" s="25" t="s">
        <v>48</v>
      </c>
    </row>
    <row r="35" spans="1:1" x14ac:dyDescent="0.25">
      <c r="A35" s="25" t="s">
        <v>49</v>
      </c>
    </row>
    <row r="36" spans="1:1" x14ac:dyDescent="0.25">
      <c r="A36" s="25" t="s">
        <v>50</v>
      </c>
    </row>
    <row r="38" spans="1:1" x14ac:dyDescent="0.25">
      <c r="A38" s="25" t="s">
        <v>52</v>
      </c>
    </row>
    <row r="39" spans="1:1" x14ac:dyDescent="0.25">
      <c r="A39" s="25" t="s">
        <v>54</v>
      </c>
    </row>
    <row r="40" spans="1:1" x14ac:dyDescent="0.25">
      <c r="A40" s="25" t="s">
        <v>53</v>
      </c>
    </row>
    <row r="41" spans="1:1" x14ac:dyDescent="0.25">
      <c r="A41" s="25" t="s">
        <v>56</v>
      </c>
    </row>
    <row r="42" spans="1:1" x14ac:dyDescent="0.25">
      <c r="A42" s="25" t="s">
        <v>55</v>
      </c>
    </row>
    <row r="43" spans="1:1" x14ac:dyDescent="0.25">
      <c r="A43" s="25" t="s">
        <v>57</v>
      </c>
    </row>
    <row r="44" spans="1:1" x14ac:dyDescent="0.25">
      <c r="A44" s="25" t="s">
        <v>58</v>
      </c>
    </row>
    <row r="45" spans="1:1" x14ac:dyDescent="0.25">
      <c r="A45" s="25" t="s">
        <v>59</v>
      </c>
    </row>
    <row r="46" spans="1:1" x14ac:dyDescent="0.25">
      <c r="A46" s="25" t="s">
        <v>60</v>
      </c>
    </row>
    <row r="47" spans="1:1" x14ac:dyDescent="0.25">
      <c r="A47" s="25" t="s">
        <v>61</v>
      </c>
    </row>
    <row r="48" spans="1:1" x14ac:dyDescent="0.25">
      <c r="A48" s="25" t="s">
        <v>62</v>
      </c>
    </row>
    <row r="49" spans="1:1" x14ac:dyDescent="0.25">
      <c r="A49" s="25" t="s">
        <v>63</v>
      </c>
    </row>
    <row r="50" spans="1:1" x14ac:dyDescent="0.25">
      <c r="A50" s="25" t="s">
        <v>64</v>
      </c>
    </row>
    <row r="52" spans="1:1" x14ac:dyDescent="0.25">
      <c r="A52" s="25" t="s">
        <v>65</v>
      </c>
    </row>
    <row r="54" spans="1:1" x14ac:dyDescent="0.25">
      <c r="A54" t="s">
        <v>66</v>
      </c>
    </row>
    <row r="55" spans="1:1" x14ac:dyDescent="0.25">
      <c r="A55" s="25" t="s">
        <v>74</v>
      </c>
    </row>
    <row r="56" spans="1:1" x14ac:dyDescent="0.25">
      <c r="A56" s="25" t="s">
        <v>75</v>
      </c>
    </row>
    <row r="57" spans="1:1" x14ac:dyDescent="0.25">
      <c r="A57" s="25" t="s">
        <v>76</v>
      </c>
    </row>
    <row r="58" spans="1:1" x14ac:dyDescent="0.25">
      <c r="A58" s="25" t="s">
        <v>78</v>
      </c>
    </row>
    <row r="59" spans="1:1" x14ac:dyDescent="0.25">
      <c r="A59" s="25" t="s">
        <v>77</v>
      </c>
    </row>
    <row r="61" spans="1:1" x14ac:dyDescent="0.25">
      <c r="A61" s="25" t="s">
        <v>109</v>
      </c>
    </row>
    <row r="62" spans="1:1" x14ac:dyDescent="0.25">
      <c r="A62" s="53" t="s">
        <v>110</v>
      </c>
    </row>
    <row r="64" spans="1:1" x14ac:dyDescent="0.25">
      <c r="A64" s="25" t="s">
        <v>111</v>
      </c>
    </row>
    <row r="65" spans="1:6" x14ac:dyDescent="0.25">
      <c r="A65" s="25" t="s">
        <v>112</v>
      </c>
    </row>
    <row r="67" spans="1:6" x14ac:dyDescent="0.25">
      <c r="A67" s="25" t="s">
        <v>113</v>
      </c>
    </row>
    <row r="68" spans="1:6" x14ac:dyDescent="0.25">
      <c r="A68" s="25" t="s">
        <v>114</v>
      </c>
    </row>
    <row r="69" spans="1:6" x14ac:dyDescent="0.25">
      <c r="A69" s="25" t="s">
        <v>151</v>
      </c>
    </row>
    <row r="71" spans="1:6" x14ac:dyDescent="0.25">
      <c r="A71" t="s">
        <v>159</v>
      </c>
    </row>
    <row r="72" spans="1:6" x14ac:dyDescent="0.25">
      <c r="A72" t="s">
        <v>160</v>
      </c>
    </row>
    <row r="73" spans="1:6" ht="14" x14ac:dyDescent="0.3">
      <c r="A73" t="s">
        <v>161</v>
      </c>
      <c r="E73" s="74">
        <v>365442</v>
      </c>
      <c r="F73" s="75" t="s">
        <v>162</v>
      </c>
    </row>
    <row r="74" spans="1:6" ht="14" x14ac:dyDescent="0.3">
      <c r="E74" s="74">
        <v>365383</v>
      </c>
      <c r="F74" s="75" t="s">
        <v>163</v>
      </c>
    </row>
    <row r="75" spans="1:6" ht="14" x14ac:dyDescent="0.3">
      <c r="E75" s="74">
        <v>365381</v>
      </c>
      <c r="F75" s="75" t="s">
        <v>164</v>
      </c>
    </row>
    <row r="76" spans="1:6" ht="14" x14ac:dyDescent="0.3">
      <c r="E76" s="74">
        <v>365391</v>
      </c>
      <c r="F76" s="75" t="s">
        <v>165</v>
      </c>
    </row>
    <row r="77" spans="1:6" ht="14" x14ac:dyDescent="0.3">
      <c r="E77" s="74">
        <v>365396</v>
      </c>
      <c r="F77" s="75" t="s">
        <v>166</v>
      </c>
    </row>
  </sheetData>
  <phoneticPr fontId="5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50"/>
  <sheetViews>
    <sheetView zoomScale="130" zoomScaleNormal="130" workbookViewId="0">
      <selection activeCell="F5" sqref="F5"/>
    </sheetView>
  </sheetViews>
  <sheetFormatPr defaultRowHeight="12.5" x14ac:dyDescent="0.25"/>
  <cols>
    <col min="1" max="1" width="23.81640625" customWidth="1"/>
    <col min="2" max="2" width="20.81640625" customWidth="1"/>
    <col min="4" max="4" width="17.26953125" customWidth="1"/>
    <col min="5" max="5" width="20.7265625" customWidth="1"/>
    <col min="6" max="6" width="12.7265625" customWidth="1"/>
    <col min="7" max="7" width="13.81640625" customWidth="1"/>
    <col min="10" max="10" width="11.7265625" customWidth="1"/>
    <col min="13" max="13" width="11.26953125" customWidth="1"/>
    <col min="15" max="15" width="9.1796875" customWidth="1"/>
  </cols>
  <sheetData>
    <row r="1" spans="1:18" ht="15.5" x14ac:dyDescent="0.35">
      <c r="A1" s="12" t="s">
        <v>116</v>
      </c>
    </row>
    <row r="2" spans="1:18" x14ac:dyDescent="0.25">
      <c r="A2" s="2"/>
      <c r="C2" s="2"/>
      <c r="E2" s="2"/>
      <c r="G2" s="2"/>
      <c r="I2" s="2"/>
      <c r="K2" s="2"/>
      <c r="M2" s="2"/>
      <c r="O2" s="2"/>
      <c r="Q2" s="2"/>
    </row>
    <row r="3" spans="1:18" x14ac:dyDescent="0.25">
      <c r="A3" s="33" t="s">
        <v>115</v>
      </c>
      <c r="B3" s="29" t="s">
        <v>117</v>
      </c>
      <c r="C3" s="17"/>
      <c r="D3" s="15"/>
      <c r="E3" s="4" t="s">
        <v>11</v>
      </c>
      <c r="F3" s="29" t="s">
        <v>118</v>
      </c>
      <c r="G3" s="15"/>
      <c r="K3" s="25" t="s">
        <v>146</v>
      </c>
    </row>
    <row r="4" spans="1:18" x14ac:dyDescent="0.25">
      <c r="A4" s="18" t="s">
        <v>6</v>
      </c>
      <c r="B4" s="19">
        <v>45819</v>
      </c>
      <c r="C4" s="17"/>
      <c r="D4" s="15"/>
      <c r="E4" s="4" t="s">
        <v>12</v>
      </c>
      <c r="F4" s="34" t="s">
        <v>156</v>
      </c>
      <c r="G4" s="15"/>
      <c r="K4" t="s">
        <v>79</v>
      </c>
    </row>
    <row r="5" spans="1:18" x14ac:dyDescent="0.25">
      <c r="A5" s="27"/>
      <c r="B5" s="19"/>
      <c r="C5" s="17"/>
      <c r="D5" s="15"/>
      <c r="E5" s="4" t="s">
        <v>13</v>
      </c>
      <c r="F5" s="29" t="s">
        <v>155</v>
      </c>
      <c r="G5" s="15"/>
    </row>
    <row r="6" spans="1:18" ht="13.5" thickBot="1" x14ac:dyDescent="0.35">
      <c r="A6" s="10"/>
      <c r="D6" s="25" t="s">
        <v>83</v>
      </c>
      <c r="H6" s="25" t="s">
        <v>84</v>
      </c>
      <c r="Q6" s="1"/>
    </row>
    <row r="7" spans="1:18" ht="13" thickTop="1" x14ac:dyDescent="0.25">
      <c r="A7" s="39" t="s">
        <v>18</v>
      </c>
      <c r="B7" s="35" t="s">
        <v>73</v>
      </c>
      <c r="C7" s="9" t="s">
        <v>2</v>
      </c>
      <c r="D7" s="14" t="s">
        <v>68</v>
      </c>
      <c r="E7" s="14" t="s">
        <v>69</v>
      </c>
      <c r="F7" s="20" t="s">
        <v>9</v>
      </c>
      <c r="G7" s="40" t="s">
        <v>67</v>
      </c>
      <c r="H7" s="43" t="s">
        <v>80</v>
      </c>
      <c r="I7" s="43" t="s">
        <v>81</v>
      </c>
      <c r="J7" s="43" t="s">
        <v>145</v>
      </c>
      <c r="K7" s="43" t="s">
        <v>80</v>
      </c>
      <c r="L7" s="43" t="s">
        <v>81</v>
      </c>
      <c r="M7" s="43" t="s">
        <v>82</v>
      </c>
      <c r="N7" s="43" t="s">
        <v>80</v>
      </c>
      <c r="O7" s="43" t="s">
        <v>81</v>
      </c>
      <c r="P7" s="43" t="s">
        <v>85</v>
      </c>
      <c r="Q7" s="43" t="s">
        <v>80</v>
      </c>
      <c r="R7" s="43" t="s">
        <v>81</v>
      </c>
    </row>
    <row r="8" spans="1:18" ht="13" x14ac:dyDescent="0.3">
      <c r="A8" s="7"/>
      <c r="B8" s="8" t="s">
        <v>10</v>
      </c>
      <c r="C8" s="9"/>
      <c r="D8" s="14"/>
      <c r="E8" s="14"/>
      <c r="F8" s="21" t="s">
        <v>10</v>
      </c>
      <c r="G8" s="41" t="s">
        <v>70</v>
      </c>
      <c r="H8" s="43"/>
      <c r="I8" s="43"/>
      <c r="J8" s="43"/>
      <c r="K8" s="42"/>
      <c r="L8" s="42"/>
      <c r="M8" s="43"/>
      <c r="N8" s="42"/>
      <c r="O8" s="42"/>
      <c r="P8" s="43"/>
      <c r="Q8" s="42"/>
      <c r="R8" s="42"/>
    </row>
    <row r="9" spans="1:18" x14ac:dyDescent="0.25">
      <c r="A9" s="26" t="s">
        <v>119</v>
      </c>
      <c r="B9" s="35" t="s">
        <v>72</v>
      </c>
      <c r="C9" s="28" t="s">
        <v>3</v>
      </c>
      <c r="D9" s="59">
        <v>999900</v>
      </c>
      <c r="E9" s="59">
        <v>-176</v>
      </c>
      <c r="F9" s="38">
        <v>1593.03</v>
      </c>
      <c r="G9" s="40">
        <v>20.440000000000001</v>
      </c>
      <c r="H9" s="43">
        <v>0.2</v>
      </c>
      <c r="I9" s="42">
        <v>10</v>
      </c>
      <c r="J9" s="42">
        <v>0</v>
      </c>
      <c r="K9" s="45">
        <v>0</v>
      </c>
      <c r="L9" s="44">
        <v>10</v>
      </c>
      <c r="M9" s="42">
        <v>0</v>
      </c>
      <c r="N9" s="45">
        <v>0</v>
      </c>
      <c r="O9" s="44">
        <v>10</v>
      </c>
      <c r="P9" s="42"/>
      <c r="Q9" s="42"/>
      <c r="R9" s="44"/>
    </row>
    <row r="10" spans="1:18" x14ac:dyDescent="0.25">
      <c r="A10" s="26" t="s">
        <v>120</v>
      </c>
      <c r="B10" s="35" t="s">
        <v>72</v>
      </c>
      <c r="C10" s="28" t="s">
        <v>3</v>
      </c>
      <c r="D10" s="59">
        <v>999884</v>
      </c>
      <c r="E10" s="59">
        <v>-176</v>
      </c>
      <c r="F10" s="38">
        <v>1592.98</v>
      </c>
      <c r="G10" s="40">
        <v>20.440000000000001</v>
      </c>
      <c r="H10" s="43">
        <v>0.2</v>
      </c>
      <c r="I10" s="42">
        <v>10</v>
      </c>
      <c r="J10" s="42">
        <v>0</v>
      </c>
      <c r="K10" s="45">
        <v>0</v>
      </c>
      <c r="L10" s="44">
        <v>10</v>
      </c>
      <c r="M10" s="42">
        <v>0</v>
      </c>
      <c r="N10" s="45">
        <v>0</v>
      </c>
      <c r="O10" s="44">
        <v>10</v>
      </c>
      <c r="P10" s="42"/>
      <c r="Q10" s="45"/>
      <c r="R10" s="44"/>
    </row>
    <row r="11" spans="1:18" x14ac:dyDescent="0.25">
      <c r="A11" s="26" t="s">
        <v>71</v>
      </c>
      <c r="B11" s="35" t="s">
        <v>72</v>
      </c>
      <c r="C11" s="28" t="s">
        <v>3</v>
      </c>
      <c r="D11" s="59">
        <v>-1</v>
      </c>
      <c r="E11" s="59">
        <v>13</v>
      </c>
      <c r="F11" s="38">
        <v>1592.95</v>
      </c>
      <c r="G11" s="40">
        <v>20.440000000000001</v>
      </c>
      <c r="H11" s="43">
        <v>0.25</v>
      </c>
      <c r="I11" s="42">
        <v>10</v>
      </c>
      <c r="J11" s="42">
        <v>0</v>
      </c>
      <c r="K11" s="45">
        <v>0</v>
      </c>
      <c r="L11" s="44">
        <v>10</v>
      </c>
      <c r="M11" s="42">
        <v>0</v>
      </c>
      <c r="N11" s="45">
        <v>0</v>
      </c>
      <c r="O11" s="44">
        <v>10</v>
      </c>
      <c r="P11" s="42"/>
      <c r="Q11" s="45"/>
      <c r="R11" s="44"/>
    </row>
    <row r="12" spans="1:18" x14ac:dyDescent="0.25">
      <c r="A12" s="26" t="s">
        <v>121</v>
      </c>
      <c r="B12" s="35" t="s">
        <v>72</v>
      </c>
      <c r="C12" s="28" t="s">
        <v>4</v>
      </c>
      <c r="D12" s="60">
        <v>999815</v>
      </c>
      <c r="E12" s="59">
        <v>595</v>
      </c>
      <c r="F12" s="38">
        <v>1595.86</v>
      </c>
      <c r="G12" s="40">
        <v>21.06</v>
      </c>
      <c r="H12" s="43">
        <v>0.25</v>
      </c>
      <c r="I12" s="42">
        <v>10</v>
      </c>
      <c r="J12" s="42">
        <v>0</v>
      </c>
      <c r="K12" s="45">
        <v>2.5000000000000001E-5</v>
      </c>
      <c r="L12" s="44">
        <v>10</v>
      </c>
      <c r="M12" s="42">
        <v>0</v>
      </c>
      <c r="N12" s="45">
        <v>1E-4</v>
      </c>
      <c r="O12" s="44">
        <v>10</v>
      </c>
      <c r="P12" s="42"/>
      <c r="Q12" s="45"/>
      <c r="R12" s="44"/>
    </row>
    <row r="13" spans="1:18" x14ac:dyDescent="0.25">
      <c r="A13" s="26" t="s">
        <v>122</v>
      </c>
      <c r="B13" s="35" t="s">
        <v>72</v>
      </c>
      <c r="C13" s="28" t="s">
        <v>4</v>
      </c>
      <c r="D13" s="59">
        <v>1</v>
      </c>
      <c r="E13" s="59">
        <v>-1</v>
      </c>
      <c r="F13" s="38">
        <v>1595.78</v>
      </c>
      <c r="G13" s="40">
        <v>21.15</v>
      </c>
      <c r="H13" s="43">
        <v>0.25</v>
      </c>
      <c r="I13" s="42">
        <v>10</v>
      </c>
      <c r="J13" s="42">
        <v>0</v>
      </c>
      <c r="K13" s="45">
        <v>0</v>
      </c>
      <c r="L13" s="44">
        <v>10</v>
      </c>
      <c r="M13" s="42">
        <v>0</v>
      </c>
      <c r="N13" s="45">
        <v>0</v>
      </c>
      <c r="O13" s="44">
        <v>10</v>
      </c>
      <c r="P13" s="42"/>
      <c r="Q13" s="45"/>
      <c r="R13" s="44"/>
    </row>
    <row r="14" spans="1:18" x14ac:dyDescent="0.25">
      <c r="A14" s="26" t="s">
        <v>123</v>
      </c>
      <c r="B14" s="35" t="s">
        <v>72</v>
      </c>
      <c r="C14" s="28" t="s">
        <v>7</v>
      </c>
      <c r="D14" s="59">
        <v>1001019</v>
      </c>
      <c r="E14" s="59">
        <v>600</v>
      </c>
      <c r="F14" s="38">
        <v>1594.94</v>
      </c>
      <c r="G14" s="40">
        <v>20.94</v>
      </c>
      <c r="H14" s="43">
        <v>0.25</v>
      </c>
      <c r="I14" s="42">
        <v>10</v>
      </c>
      <c r="J14" s="42">
        <v>0</v>
      </c>
      <c r="K14" s="45">
        <v>2.5000000000000001E-5</v>
      </c>
      <c r="L14" s="44">
        <v>10</v>
      </c>
      <c r="M14" s="42">
        <v>0</v>
      </c>
      <c r="N14" s="45">
        <v>1E-4</v>
      </c>
      <c r="O14" s="44">
        <v>10</v>
      </c>
      <c r="P14" s="42"/>
      <c r="Q14" s="45"/>
      <c r="R14" s="44"/>
    </row>
    <row r="15" spans="1:18" x14ac:dyDescent="0.25">
      <c r="A15" s="26" t="s">
        <v>124</v>
      </c>
      <c r="B15" s="35" t="s">
        <v>72</v>
      </c>
      <c r="C15" s="28" t="s">
        <v>7</v>
      </c>
      <c r="D15" s="59">
        <v>9</v>
      </c>
      <c r="E15" s="59">
        <v>0</v>
      </c>
      <c r="F15" s="38">
        <v>1594.63</v>
      </c>
      <c r="G15" s="40">
        <v>20.87</v>
      </c>
      <c r="H15" s="43">
        <v>0.25</v>
      </c>
      <c r="I15" s="42">
        <v>10</v>
      </c>
      <c r="J15" s="42">
        <v>0</v>
      </c>
      <c r="K15" s="45">
        <v>0</v>
      </c>
      <c r="L15" s="44">
        <v>10</v>
      </c>
      <c r="M15" s="42">
        <v>0</v>
      </c>
      <c r="N15" s="45">
        <v>0</v>
      </c>
      <c r="O15" s="44">
        <v>10</v>
      </c>
      <c r="P15" s="42"/>
      <c r="Q15" s="42"/>
      <c r="R15" s="44"/>
    </row>
    <row r="16" spans="1:18" x14ac:dyDescent="0.25">
      <c r="A16" s="26" t="s">
        <v>125</v>
      </c>
      <c r="B16" s="35" t="s">
        <v>72</v>
      </c>
      <c r="C16" s="28" t="s">
        <v>5</v>
      </c>
      <c r="D16" s="59">
        <v>999267</v>
      </c>
      <c r="E16" s="59">
        <v>653</v>
      </c>
      <c r="F16" s="38">
        <v>1594.19</v>
      </c>
      <c r="G16" s="40">
        <v>20.89</v>
      </c>
      <c r="H16" s="43">
        <v>0.25</v>
      </c>
      <c r="I16" s="42">
        <v>10</v>
      </c>
      <c r="J16" s="42">
        <v>0</v>
      </c>
      <c r="K16" s="45">
        <v>2.5000000000000001E-5</v>
      </c>
      <c r="L16" s="44">
        <v>10</v>
      </c>
      <c r="M16" s="42">
        <v>0</v>
      </c>
      <c r="N16" s="45">
        <v>1E-4</v>
      </c>
      <c r="O16" s="44">
        <v>10</v>
      </c>
      <c r="P16" s="42"/>
      <c r="Q16" s="45"/>
      <c r="R16" s="44"/>
    </row>
    <row r="17" spans="1:18" x14ac:dyDescent="0.25">
      <c r="A17" s="26" t="s">
        <v>126</v>
      </c>
      <c r="B17" s="35" t="s">
        <v>72</v>
      </c>
      <c r="C17" s="28" t="s">
        <v>5</v>
      </c>
      <c r="D17" s="59">
        <v>97</v>
      </c>
      <c r="E17" s="59">
        <v>3</v>
      </c>
      <c r="F17" s="38">
        <v>1593.95</v>
      </c>
      <c r="G17" s="40">
        <v>20.85</v>
      </c>
      <c r="H17" s="43">
        <v>0.25</v>
      </c>
      <c r="I17" s="42">
        <v>10</v>
      </c>
      <c r="J17" s="42">
        <v>0</v>
      </c>
      <c r="K17" s="45">
        <v>0</v>
      </c>
      <c r="L17" s="44">
        <v>10</v>
      </c>
      <c r="M17" s="42">
        <v>0</v>
      </c>
      <c r="N17" s="45">
        <v>0</v>
      </c>
      <c r="O17" s="44">
        <v>10</v>
      </c>
      <c r="P17" s="42"/>
      <c r="Q17" s="45"/>
      <c r="R17" s="44"/>
    </row>
    <row r="18" spans="1:18" x14ac:dyDescent="0.25">
      <c r="A18" s="26" t="s">
        <v>127</v>
      </c>
      <c r="B18" s="35" t="s">
        <v>72</v>
      </c>
      <c r="C18" s="28" t="s">
        <v>3</v>
      </c>
      <c r="D18" s="59">
        <v>988944</v>
      </c>
      <c r="E18" s="59">
        <v>183</v>
      </c>
      <c r="F18" s="38">
        <v>1593.22</v>
      </c>
      <c r="G18" s="40">
        <v>21.12</v>
      </c>
      <c r="H18" s="43">
        <v>0.25</v>
      </c>
      <c r="I18" s="42">
        <v>10</v>
      </c>
      <c r="J18" s="42">
        <v>0</v>
      </c>
      <c r="K18" s="45">
        <v>2.5000000000000001E-5</v>
      </c>
      <c r="L18" s="44">
        <v>10</v>
      </c>
      <c r="M18" s="42">
        <v>0</v>
      </c>
      <c r="N18" s="45">
        <v>1E-4</v>
      </c>
      <c r="O18" s="44">
        <v>10</v>
      </c>
      <c r="P18" s="42"/>
      <c r="Q18" s="45"/>
      <c r="R18" s="44"/>
    </row>
    <row r="19" spans="1:18" x14ac:dyDescent="0.25">
      <c r="A19" s="26" t="s">
        <v>128</v>
      </c>
      <c r="B19" s="35" t="s">
        <v>72</v>
      </c>
      <c r="C19" s="28" t="s">
        <v>3</v>
      </c>
      <c r="D19" s="59">
        <v>1080</v>
      </c>
      <c r="E19" s="60">
        <v>12</v>
      </c>
      <c r="F19" s="38">
        <v>1593.15</v>
      </c>
      <c r="G19" s="40">
        <v>21.1</v>
      </c>
      <c r="H19" s="43">
        <v>0.25</v>
      </c>
      <c r="I19" s="42">
        <v>10</v>
      </c>
      <c r="J19" s="42">
        <v>0</v>
      </c>
      <c r="K19" s="45">
        <v>0</v>
      </c>
      <c r="L19" s="44">
        <v>10</v>
      </c>
      <c r="M19" s="42">
        <v>0</v>
      </c>
      <c r="N19" s="45">
        <v>0</v>
      </c>
      <c r="O19" s="44">
        <v>10</v>
      </c>
      <c r="P19" s="42"/>
      <c r="Q19" s="45"/>
      <c r="R19" s="44"/>
    </row>
    <row r="20" spans="1:18" x14ac:dyDescent="0.25">
      <c r="A20" s="26" t="s">
        <v>129</v>
      </c>
      <c r="B20" s="35" t="s">
        <v>72</v>
      </c>
      <c r="C20" s="28" t="s">
        <v>3</v>
      </c>
      <c r="D20" s="59">
        <v>491422</v>
      </c>
      <c r="E20" s="59">
        <v>313</v>
      </c>
      <c r="F20" s="38">
        <v>1593.08</v>
      </c>
      <c r="G20" s="40">
        <v>21.04</v>
      </c>
      <c r="H20" s="43">
        <v>0.25</v>
      </c>
      <c r="I20" s="42">
        <v>10</v>
      </c>
      <c r="J20" s="42">
        <v>0</v>
      </c>
      <c r="K20" s="45">
        <v>2.5000000000000001E-5</v>
      </c>
      <c r="L20" s="44">
        <v>10</v>
      </c>
      <c r="M20" s="42">
        <v>0</v>
      </c>
      <c r="N20" s="45">
        <v>1E-4</v>
      </c>
      <c r="O20" s="44">
        <v>10</v>
      </c>
      <c r="P20" s="42"/>
      <c r="Q20" s="45"/>
      <c r="R20" s="44"/>
    </row>
    <row r="21" spans="1:18" x14ac:dyDescent="0.25">
      <c r="A21" s="26" t="s">
        <v>130</v>
      </c>
      <c r="B21" s="35" t="s">
        <v>72</v>
      </c>
      <c r="C21" s="28" t="s">
        <v>3</v>
      </c>
      <c r="D21" s="59">
        <v>968</v>
      </c>
      <c r="E21" s="59">
        <v>13</v>
      </c>
      <c r="F21" s="38">
        <v>1592.67</v>
      </c>
      <c r="G21" s="40">
        <v>21.03</v>
      </c>
      <c r="H21" s="43">
        <v>0.25</v>
      </c>
      <c r="I21" s="42">
        <v>10</v>
      </c>
      <c r="J21" s="42">
        <v>0</v>
      </c>
      <c r="K21" s="45">
        <v>0</v>
      </c>
      <c r="L21" s="44">
        <v>10</v>
      </c>
      <c r="M21" s="42">
        <v>0</v>
      </c>
      <c r="N21" s="45">
        <v>0</v>
      </c>
      <c r="O21" s="44">
        <v>10</v>
      </c>
      <c r="P21" s="42"/>
      <c r="Q21" s="42"/>
      <c r="R21" s="44"/>
    </row>
    <row r="22" spans="1:18" x14ac:dyDescent="0.25">
      <c r="A22" s="26" t="s">
        <v>71</v>
      </c>
      <c r="B22" s="35" t="s">
        <v>72</v>
      </c>
      <c r="C22" s="28" t="s">
        <v>4</v>
      </c>
      <c r="D22" s="37">
        <v>0</v>
      </c>
      <c r="E22" s="37">
        <v>0</v>
      </c>
      <c r="F22" s="38">
        <v>1600</v>
      </c>
      <c r="G22" s="40">
        <v>20</v>
      </c>
      <c r="H22" s="43">
        <v>0.25</v>
      </c>
      <c r="I22" s="42">
        <v>10</v>
      </c>
      <c r="J22" s="42">
        <v>0</v>
      </c>
      <c r="K22" s="45">
        <v>0</v>
      </c>
      <c r="L22" s="44">
        <v>10</v>
      </c>
      <c r="M22" s="42">
        <v>0</v>
      </c>
      <c r="N22" s="45">
        <v>0</v>
      </c>
      <c r="O22" s="44">
        <v>10</v>
      </c>
      <c r="P22" s="42"/>
      <c r="Q22" s="45"/>
      <c r="R22" s="44"/>
    </row>
    <row r="23" spans="1:18" x14ac:dyDescent="0.25">
      <c r="A23" s="26" t="s">
        <v>71</v>
      </c>
      <c r="B23" s="35" t="s">
        <v>72</v>
      </c>
      <c r="C23" s="28" t="s">
        <v>7</v>
      </c>
      <c r="D23" s="37">
        <v>0</v>
      </c>
      <c r="E23" s="37">
        <v>0</v>
      </c>
      <c r="F23" s="38">
        <v>1600</v>
      </c>
      <c r="G23" s="40">
        <v>20</v>
      </c>
      <c r="H23" s="43">
        <v>0.25</v>
      </c>
      <c r="I23" s="42">
        <v>10</v>
      </c>
      <c r="J23" s="42">
        <v>0</v>
      </c>
      <c r="K23" s="45">
        <v>0</v>
      </c>
      <c r="L23" s="44">
        <v>10</v>
      </c>
      <c r="M23" s="42">
        <v>0</v>
      </c>
      <c r="N23" s="45">
        <v>0</v>
      </c>
      <c r="O23" s="44">
        <v>10</v>
      </c>
      <c r="P23" s="42"/>
      <c r="Q23" s="45"/>
      <c r="R23" s="44"/>
    </row>
    <row r="24" spans="1:18" x14ac:dyDescent="0.25">
      <c r="A24" s="26" t="s">
        <v>71</v>
      </c>
      <c r="B24" s="35" t="s">
        <v>72</v>
      </c>
      <c r="C24" s="28" t="s">
        <v>5</v>
      </c>
      <c r="D24" s="37">
        <v>0</v>
      </c>
      <c r="E24" s="37">
        <v>0</v>
      </c>
      <c r="F24" s="38">
        <v>1600</v>
      </c>
      <c r="G24" s="40">
        <v>20</v>
      </c>
      <c r="H24" s="43">
        <v>0.25</v>
      </c>
      <c r="I24" s="42">
        <v>10</v>
      </c>
      <c r="J24" s="42">
        <v>0</v>
      </c>
      <c r="K24" s="45">
        <v>0</v>
      </c>
      <c r="L24" s="44">
        <v>10</v>
      </c>
      <c r="M24" s="42">
        <v>0</v>
      </c>
      <c r="N24" s="45">
        <v>0</v>
      </c>
      <c r="O24" s="44">
        <v>10</v>
      </c>
      <c r="P24" s="42"/>
      <c r="Q24" s="45"/>
      <c r="R24" s="44"/>
    </row>
    <row r="25" spans="1:18" x14ac:dyDescent="0.25">
      <c r="A25" s="26"/>
      <c r="B25" s="35"/>
      <c r="C25" s="28"/>
      <c r="D25" s="37"/>
      <c r="E25" s="37"/>
      <c r="F25" s="38"/>
      <c r="G25" s="40"/>
      <c r="H25" s="43"/>
      <c r="I25" s="42"/>
      <c r="J25" s="42"/>
      <c r="K25" s="45"/>
      <c r="L25" s="44"/>
      <c r="M25" s="42"/>
      <c r="N25" s="45"/>
      <c r="O25" s="44"/>
      <c r="P25" s="42"/>
      <c r="Q25" s="45"/>
      <c r="R25" s="44"/>
    </row>
    <row r="26" spans="1:18" x14ac:dyDescent="0.25">
      <c r="A26" s="26"/>
      <c r="B26" s="35"/>
      <c r="C26" s="28"/>
      <c r="D26" s="37"/>
      <c r="E26" s="37"/>
      <c r="F26" s="38"/>
      <c r="G26" s="40"/>
      <c r="H26" s="43"/>
      <c r="I26" s="42"/>
      <c r="J26" s="42"/>
      <c r="K26" s="45"/>
      <c r="L26" s="44"/>
      <c r="M26" s="42"/>
      <c r="N26" s="45"/>
      <c r="O26" s="44"/>
      <c r="P26" s="42"/>
      <c r="Q26" s="45"/>
      <c r="R26" s="44"/>
    </row>
    <row r="27" spans="1:18" x14ac:dyDescent="0.25">
      <c r="A27" s="26"/>
      <c r="B27" s="35"/>
      <c r="C27" s="28"/>
      <c r="D27" s="37"/>
      <c r="E27" s="37"/>
      <c r="F27" s="38"/>
      <c r="G27" s="40"/>
      <c r="H27" s="43"/>
      <c r="I27" s="42"/>
      <c r="J27" s="42"/>
      <c r="K27" s="42"/>
      <c r="L27" s="44"/>
      <c r="M27" s="42"/>
      <c r="N27" s="42"/>
      <c r="O27" s="44"/>
      <c r="P27" s="42"/>
      <c r="Q27" s="42"/>
      <c r="R27" s="44"/>
    </row>
    <row r="28" spans="1:18" x14ac:dyDescent="0.25">
      <c r="A28" s="26"/>
      <c r="B28" s="35"/>
      <c r="C28" s="28"/>
      <c r="D28" s="37"/>
      <c r="E28" s="37"/>
      <c r="F28" s="38"/>
      <c r="G28" s="40"/>
      <c r="H28" s="43"/>
      <c r="I28" s="42"/>
      <c r="J28" s="42"/>
      <c r="K28" s="45"/>
      <c r="L28" s="44"/>
      <c r="M28" s="42"/>
      <c r="N28" s="45"/>
      <c r="O28" s="44"/>
      <c r="P28" s="42"/>
      <c r="Q28" s="45"/>
      <c r="R28" s="44"/>
    </row>
    <row r="29" spans="1:18" x14ac:dyDescent="0.25">
      <c r="A29" s="26"/>
      <c r="B29" s="35"/>
      <c r="C29" s="28"/>
      <c r="D29" s="37"/>
      <c r="E29" s="37"/>
      <c r="F29" s="38"/>
      <c r="G29" s="40"/>
      <c r="H29" s="43"/>
      <c r="I29" s="42"/>
      <c r="J29" s="42"/>
      <c r="K29" s="45"/>
      <c r="L29" s="44"/>
      <c r="M29" s="42"/>
      <c r="N29" s="45"/>
      <c r="O29" s="44"/>
      <c r="P29" s="42"/>
      <c r="Q29" s="45"/>
      <c r="R29" s="44"/>
    </row>
    <row r="30" spans="1:18" x14ac:dyDescent="0.25">
      <c r="A30" s="26"/>
      <c r="B30" s="35"/>
      <c r="C30" s="28"/>
      <c r="D30" s="37"/>
      <c r="E30" s="37"/>
      <c r="F30" s="38"/>
      <c r="G30" s="40"/>
      <c r="H30" s="43"/>
      <c r="I30" s="42"/>
      <c r="J30" s="42"/>
      <c r="K30" s="45"/>
      <c r="L30" s="44"/>
      <c r="M30" s="42"/>
      <c r="N30" s="45"/>
      <c r="O30" s="44"/>
      <c r="P30" s="42"/>
      <c r="Q30" s="45"/>
      <c r="R30" s="44"/>
    </row>
    <row r="31" spans="1:18" x14ac:dyDescent="0.25">
      <c r="A31" s="26"/>
      <c r="B31" s="35"/>
      <c r="C31" s="28"/>
      <c r="D31" s="37"/>
      <c r="E31" s="37"/>
      <c r="F31" s="38"/>
      <c r="G31" s="40"/>
      <c r="H31" s="43"/>
      <c r="I31" s="42"/>
      <c r="J31" s="42"/>
      <c r="K31" s="45"/>
      <c r="L31" s="44"/>
      <c r="M31" s="42"/>
      <c r="N31" s="45"/>
      <c r="O31" s="44"/>
      <c r="P31" s="42"/>
      <c r="Q31" s="45"/>
      <c r="R31" s="44"/>
    </row>
    <row r="32" spans="1:18" x14ac:dyDescent="0.25">
      <c r="A32" s="26"/>
      <c r="B32" s="35"/>
      <c r="C32" s="28"/>
      <c r="D32" s="37"/>
      <c r="E32" s="37"/>
      <c r="F32" s="38"/>
      <c r="G32" s="40"/>
      <c r="H32" s="43"/>
      <c r="I32" s="42"/>
      <c r="J32" s="42"/>
      <c r="K32" s="45"/>
      <c r="L32" s="44"/>
      <c r="M32" s="42"/>
      <c r="N32" s="45"/>
      <c r="O32" s="44"/>
      <c r="P32" s="42"/>
      <c r="Q32" s="45"/>
      <c r="R32" s="44"/>
    </row>
    <row r="33" spans="1:18" x14ac:dyDescent="0.25">
      <c r="A33" s="26"/>
      <c r="B33" s="35"/>
      <c r="C33" s="28"/>
      <c r="D33" s="37"/>
      <c r="E33" s="37"/>
      <c r="F33" s="38"/>
      <c r="G33" s="40"/>
      <c r="H33" s="43"/>
      <c r="I33" s="42"/>
      <c r="J33" s="42"/>
      <c r="K33" s="45"/>
      <c r="L33" s="44"/>
      <c r="M33" s="42"/>
      <c r="N33" s="45"/>
      <c r="O33" s="44"/>
      <c r="P33" s="42"/>
      <c r="Q33" s="45"/>
      <c r="R33" s="44"/>
    </row>
    <row r="34" spans="1:18" x14ac:dyDescent="0.25">
      <c r="A34" s="26"/>
      <c r="B34" s="35"/>
      <c r="C34" s="28"/>
      <c r="D34" s="37"/>
      <c r="E34" s="37"/>
      <c r="F34" s="38"/>
      <c r="G34" s="40"/>
      <c r="H34" s="43"/>
      <c r="I34" s="42"/>
      <c r="J34" s="42"/>
      <c r="K34" s="45"/>
      <c r="L34" s="44"/>
      <c r="M34" s="42"/>
      <c r="N34" s="45"/>
      <c r="O34" s="44"/>
      <c r="P34" s="42"/>
      <c r="Q34" s="45"/>
      <c r="R34" s="44"/>
    </row>
    <row r="35" spans="1:18" x14ac:dyDescent="0.25">
      <c r="A35" s="26"/>
      <c r="B35" s="35"/>
      <c r="C35" s="28"/>
      <c r="D35" s="37"/>
      <c r="E35" s="37"/>
      <c r="F35" s="38"/>
      <c r="G35" s="40"/>
      <c r="H35" s="43"/>
      <c r="I35" s="42"/>
      <c r="J35" s="42"/>
      <c r="K35" s="42"/>
      <c r="L35" s="44"/>
      <c r="M35" s="42"/>
      <c r="N35" s="42"/>
      <c r="O35" s="44"/>
      <c r="P35" s="42"/>
      <c r="Q35" s="42"/>
      <c r="R35" s="44"/>
    </row>
    <row r="36" spans="1:18" x14ac:dyDescent="0.25">
      <c r="A36" s="26"/>
      <c r="B36" s="35"/>
      <c r="C36" s="28"/>
      <c r="D36" s="37"/>
      <c r="E36" s="37"/>
      <c r="F36" s="38"/>
      <c r="G36" s="40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</row>
    <row r="37" spans="1:18" x14ac:dyDescent="0.25">
      <c r="A37" s="26"/>
      <c r="B37" s="35"/>
      <c r="C37" s="28"/>
      <c r="D37" s="37"/>
      <c r="E37" s="37"/>
      <c r="F37" s="38"/>
      <c r="G37" s="40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</row>
    <row r="38" spans="1:18" x14ac:dyDescent="0.25">
      <c r="A38" s="26"/>
      <c r="B38" s="35"/>
      <c r="C38" s="28"/>
      <c r="D38" s="37"/>
      <c r="E38" s="37"/>
      <c r="F38" s="38"/>
      <c r="G38" s="40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</row>
    <row r="39" spans="1:18" x14ac:dyDescent="0.25">
      <c r="A39" s="26"/>
      <c r="B39" s="35"/>
      <c r="C39" s="28"/>
      <c r="D39" s="37"/>
      <c r="E39" s="37"/>
      <c r="F39" s="38"/>
      <c r="G39" s="40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</row>
    <row r="40" spans="1:18" x14ac:dyDescent="0.25">
      <c r="A40" s="26"/>
      <c r="B40" s="35"/>
      <c r="C40" s="28"/>
      <c r="D40" s="37"/>
      <c r="E40" s="37"/>
      <c r="F40" s="38"/>
      <c r="G40" s="40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</row>
    <row r="41" spans="1:18" x14ac:dyDescent="0.25">
      <c r="A41" s="26"/>
      <c r="B41" s="35"/>
      <c r="C41" s="28"/>
      <c r="D41" s="37"/>
      <c r="E41" s="37"/>
      <c r="F41" s="38"/>
      <c r="G41" s="40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</row>
    <row r="42" spans="1:18" x14ac:dyDescent="0.25">
      <c r="A42" s="26"/>
      <c r="B42" s="35"/>
      <c r="C42" s="28"/>
      <c r="D42" s="37"/>
      <c r="E42" s="37"/>
      <c r="F42" s="38"/>
      <c r="G42" s="40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</row>
    <row r="43" spans="1:18" x14ac:dyDescent="0.25">
      <c r="A43" s="26"/>
      <c r="B43" s="35"/>
      <c r="C43" s="28"/>
      <c r="D43" s="37"/>
      <c r="E43" s="37"/>
      <c r="F43" s="38"/>
      <c r="G43" s="40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</row>
    <row r="44" spans="1:18" x14ac:dyDescent="0.25">
      <c r="A44" s="26"/>
      <c r="B44" s="35"/>
      <c r="C44" s="28"/>
      <c r="D44" s="37"/>
      <c r="E44" s="37"/>
      <c r="F44" s="38"/>
      <c r="G44" s="40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</row>
    <row r="45" spans="1:18" x14ac:dyDescent="0.25">
      <c r="A45" s="26"/>
      <c r="B45" s="35"/>
      <c r="C45" s="28"/>
      <c r="D45" s="37"/>
      <c r="E45" s="37"/>
      <c r="F45" s="38"/>
      <c r="G45" s="40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</row>
    <row r="46" spans="1:18" x14ac:dyDescent="0.25">
      <c r="A46" s="26"/>
      <c r="B46" s="35"/>
      <c r="C46" s="28"/>
      <c r="D46" s="37"/>
      <c r="E46" s="37"/>
      <c r="F46" s="38"/>
      <c r="G46" s="40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</row>
    <row r="47" spans="1:18" x14ac:dyDescent="0.25">
      <c r="A47" s="26"/>
      <c r="B47" s="35"/>
      <c r="C47" s="28"/>
      <c r="D47" s="37"/>
      <c r="E47" s="37"/>
      <c r="F47" s="38"/>
      <c r="G47" s="40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</row>
    <row r="48" spans="1:18" x14ac:dyDescent="0.25">
      <c r="A48" s="26"/>
      <c r="B48" s="35"/>
      <c r="C48" s="28"/>
      <c r="D48" s="37"/>
      <c r="E48" s="37"/>
      <c r="F48" s="38"/>
      <c r="G48" s="40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</row>
    <row r="49" spans="1:18" x14ac:dyDescent="0.25">
      <c r="A49" s="26"/>
      <c r="B49" s="35"/>
      <c r="C49" s="28"/>
      <c r="D49" s="37"/>
      <c r="E49" s="37"/>
      <c r="F49" s="38"/>
      <c r="G49" s="40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</row>
    <row r="50" spans="1:18" x14ac:dyDescent="0.25">
      <c r="A50" s="26"/>
      <c r="B50" s="35"/>
      <c r="C50" s="28"/>
      <c r="D50" s="37"/>
      <c r="E50" s="37"/>
      <c r="F50" s="38"/>
      <c r="G50" s="40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</row>
  </sheetData>
  <pageMargins left="0.7" right="0.7" top="0.75" bottom="0.75" header="0.3" footer="0.3"/>
  <pageSetup paperSize="9" scale="61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30"/>
  <sheetViews>
    <sheetView zoomScale="120" zoomScaleNormal="120" workbookViewId="0">
      <selection activeCell="A30" sqref="A30"/>
    </sheetView>
  </sheetViews>
  <sheetFormatPr defaultColWidth="11.453125" defaultRowHeight="12.5" x14ac:dyDescent="0.25"/>
  <cols>
    <col min="3" max="15" width="11.453125" customWidth="1"/>
    <col min="16" max="16" width="12.26953125" customWidth="1"/>
    <col min="17" max="23" width="11.453125" customWidth="1"/>
    <col min="26" max="26" width="15" customWidth="1"/>
    <col min="31" max="31" width="13.1796875" bestFit="1" customWidth="1"/>
    <col min="37" max="37" width="13.1796875" bestFit="1" customWidth="1"/>
    <col min="43" max="43" width="13.1796875" bestFit="1" customWidth="1"/>
  </cols>
  <sheetData>
    <row r="1" spans="1:46" x14ac:dyDescent="0.25">
      <c r="A1" s="25" t="s">
        <v>18</v>
      </c>
      <c r="B1" s="25" t="s">
        <v>0</v>
      </c>
      <c r="C1" s="25" t="s">
        <v>2</v>
      </c>
      <c r="D1" s="25" t="s">
        <v>86</v>
      </c>
      <c r="E1" s="25" t="s">
        <v>87</v>
      </c>
      <c r="F1" s="25" t="s">
        <v>88</v>
      </c>
      <c r="G1" s="25" t="s">
        <v>51</v>
      </c>
      <c r="H1" s="25" t="s">
        <v>89</v>
      </c>
      <c r="I1" s="25" t="s">
        <v>90</v>
      </c>
      <c r="J1" s="25" t="s">
        <v>108</v>
      </c>
      <c r="K1" s="25" t="s">
        <v>91</v>
      </c>
      <c r="L1" s="25" t="s">
        <v>92</v>
      </c>
      <c r="M1" s="25" t="s">
        <v>94</v>
      </c>
      <c r="N1" s="25" t="s">
        <v>93</v>
      </c>
      <c r="O1" s="25" t="s">
        <v>95</v>
      </c>
      <c r="P1" s="25" t="s">
        <v>96</v>
      </c>
      <c r="Q1" s="25" t="s">
        <v>97</v>
      </c>
      <c r="R1" s="25" t="s">
        <v>98</v>
      </c>
      <c r="S1" s="25" t="s">
        <v>99</v>
      </c>
      <c r="T1" s="25" t="s">
        <v>100</v>
      </c>
      <c r="U1" s="25" t="s">
        <v>101</v>
      </c>
      <c r="V1" s="25" t="s">
        <v>102</v>
      </c>
      <c r="W1" s="25" t="s">
        <v>103</v>
      </c>
      <c r="X1" s="25" t="s">
        <v>104</v>
      </c>
      <c r="Y1" s="25" t="s">
        <v>105</v>
      </c>
      <c r="Z1" s="25" t="s">
        <v>106</v>
      </c>
      <c r="AA1" s="25" t="s">
        <v>8</v>
      </c>
      <c r="AD1" s="25" t="s">
        <v>138</v>
      </c>
      <c r="AG1" s="25" t="s">
        <v>139</v>
      </c>
      <c r="AJ1" s="25" t="s">
        <v>140</v>
      </c>
      <c r="AM1" s="25" t="s">
        <v>141</v>
      </c>
      <c r="AP1" s="72" t="s">
        <v>147</v>
      </c>
      <c r="AQ1" s="32">
        <v>0.01</v>
      </c>
      <c r="AR1" s="32"/>
      <c r="AS1" s="72" t="s">
        <v>150</v>
      </c>
      <c r="AT1" s="32"/>
    </row>
    <row r="2" spans="1:46" x14ac:dyDescent="0.25">
      <c r="A2" s="48" t="s">
        <v>119</v>
      </c>
      <c r="B2" s="48" t="s">
        <v>72</v>
      </c>
      <c r="C2" s="48" t="s">
        <v>3</v>
      </c>
      <c r="D2" s="48">
        <v>999900</v>
      </c>
      <c r="E2" s="48">
        <v>-176</v>
      </c>
      <c r="F2" s="48">
        <v>1593.03</v>
      </c>
      <c r="G2" s="48">
        <v>20.440000000000001</v>
      </c>
      <c r="H2" s="48">
        <v>0.2</v>
      </c>
      <c r="I2" s="48">
        <v>10</v>
      </c>
      <c r="J2" s="48">
        <v>0</v>
      </c>
      <c r="K2" s="48">
        <v>0</v>
      </c>
      <c r="L2" s="48">
        <v>10</v>
      </c>
      <c r="M2" s="48">
        <v>0</v>
      </c>
      <c r="N2" s="48">
        <v>0</v>
      </c>
      <c r="O2" s="48">
        <v>10</v>
      </c>
      <c r="P2" s="73">
        <v>1.0000518706856111E-9</v>
      </c>
      <c r="Q2" s="48">
        <v>3.4216770269793212E-14</v>
      </c>
      <c r="R2" s="48">
        <v>2.105296533451761</v>
      </c>
      <c r="S2" s="48">
        <v>-1.8900221886106001E-10</v>
      </c>
      <c r="T2" s="48">
        <v>3.7896428607171398E-10</v>
      </c>
      <c r="U2" s="48">
        <v>2.2184086785541912</v>
      </c>
      <c r="V2" s="48">
        <v>2.212666606550694E-14</v>
      </c>
      <c r="W2" s="48">
        <v>2.7296743217513358E-10</v>
      </c>
      <c r="X2" s="13"/>
      <c r="Y2" s="13"/>
      <c r="Z2" t="str">
        <f>A2&amp;B2</f>
        <v>GR1000A1.6k</v>
      </c>
      <c r="AA2" s="46">
        <f>P2*1000000000</f>
        <v>1.000051870685611</v>
      </c>
      <c r="AB2" s="36">
        <f>Q2*1000000000</f>
        <v>3.4216770269793213E-5</v>
      </c>
      <c r="AC2" s="13">
        <f t="shared" ref="AC2:AF3" si="0">R2</f>
        <v>2.105296533451761</v>
      </c>
      <c r="AD2" s="47">
        <f t="shared" si="0"/>
        <v>-1.8900221886106001E-10</v>
      </c>
      <c r="AE2" s="47">
        <f t="shared" si="0"/>
        <v>3.7896428607171398E-10</v>
      </c>
      <c r="AF2" s="13">
        <f t="shared" si="0"/>
        <v>2.2184086785541912</v>
      </c>
      <c r="AG2" s="25" t="s">
        <v>8</v>
      </c>
      <c r="AJ2" s="25" t="s">
        <v>138</v>
      </c>
      <c r="AM2" s="25" t="s">
        <v>22</v>
      </c>
      <c r="AP2" s="32"/>
      <c r="AQ2" s="32"/>
      <c r="AR2" s="32"/>
      <c r="AS2" s="32"/>
      <c r="AT2" s="32"/>
    </row>
    <row r="3" spans="1:46" x14ac:dyDescent="0.25">
      <c r="A3" s="48" t="s">
        <v>120</v>
      </c>
      <c r="B3" s="48" t="s">
        <v>72</v>
      </c>
      <c r="C3" s="48" t="s">
        <v>3</v>
      </c>
      <c r="D3" s="48">
        <v>999884</v>
      </c>
      <c r="E3" s="48">
        <v>-176</v>
      </c>
      <c r="F3" s="48">
        <v>1592.98</v>
      </c>
      <c r="G3" s="48">
        <v>20.440000000000001</v>
      </c>
      <c r="H3" s="48">
        <v>0.2</v>
      </c>
      <c r="I3" s="48">
        <v>10</v>
      </c>
      <c r="J3" s="48">
        <v>0</v>
      </c>
      <c r="K3" s="48">
        <v>0</v>
      </c>
      <c r="L3" s="48">
        <v>10</v>
      </c>
      <c r="M3" s="48">
        <v>0</v>
      </c>
      <c r="N3" s="48">
        <v>0</v>
      </c>
      <c r="O3" s="48">
        <v>10</v>
      </c>
      <c r="P3" s="73">
        <v>1.0000358682714401E-9</v>
      </c>
      <c r="Q3" s="48">
        <v>3.4216232578533821E-14</v>
      </c>
      <c r="R3" s="48">
        <v>2.105296282662299</v>
      </c>
      <c r="S3" s="48">
        <v>-1.8900221886106001E-10</v>
      </c>
      <c r="T3" s="48">
        <v>3.7893468713736148E-10</v>
      </c>
      <c r="U3" s="48">
        <v>2.218407069272363</v>
      </c>
      <c r="V3" s="48">
        <v>2.2126317953025769E-14</v>
      </c>
      <c r="W3" s="48">
        <v>2.7295454008501099E-10</v>
      </c>
      <c r="X3" s="13">
        <f t="shared" ref="X3:X17" si="1">Q3/V3</f>
        <v>1.5464042707501073</v>
      </c>
      <c r="Y3" s="13">
        <f t="shared" ref="Y3:Y17" si="2">T3/W3</f>
        <v>1.3882703215683581</v>
      </c>
      <c r="Z3" t="str">
        <f>A3&amp;B3</f>
        <v>GR1000B1.6k</v>
      </c>
      <c r="AA3" s="46">
        <f>P3*1000000000</f>
        <v>1.0000358682714401</v>
      </c>
      <c r="AB3" s="36">
        <f>Q3*1000000000</f>
        <v>3.4216232578533824E-5</v>
      </c>
      <c r="AC3" s="13">
        <f t="shared" si="0"/>
        <v>2.105296282662299</v>
      </c>
      <c r="AD3" s="47">
        <f t="shared" si="0"/>
        <v>-1.8900221886106001E-10</v>
      </c>
      <c r="AE3" s="47">
        <f t="shared" si="0"/>
        <v>3.7893468713736148E-10</v>
      </c>
      <c r="AF3" s="13">
        <f t="shared" si="0"/>
        <v>2.218407069272363</v>
      </c>
      <c r="AP3" s="32"/>
      <c r="AQ3" s="32"/>
      <c r="AR3" s="32"/>
      <c r="AS3" s="32"/>
      <c r="AT3" s="32"/>
    </row>
    <row r="4" spans="1:46" x14ac:dyDescent="0.25">
      <c r="A4" s="48" t="s">
        <v>71</v>
      </c>
      <c r="B4" s="48" t="s">
        <v>72</v>
      </c>
      <c r="C4" s="48" t="s">
        <v>3</v>
      </c>
      <c r="D4" s="48">
        <v>-1</v>
      </c>
      <c r="E4" s="48">
        <v>13</v>
      </c>
      <c r="F4" s="48">
        <v>1592.95</v>
      </c>
      <c r="G4" s="48">
        <v>20.440000000000001</v>
      </c>
      <c r="H4" s="48">
        <v>0.25</v>
      </c>
      <c r="I4" s="48">
        <v>10</v>
      </c>
      <c r="J4" s="48">
        <v>0</v>
      </c>
      <c r="K4" s="48">
        <v>0</v>
      </c>
      <c r="L4" s="48">
        <v>10</v>
      </c>
      <c r="M4" s="48">
        <v>0</v>
      </c>
      <c r="N4" s="48">
        <v>0</v>
      </c>
      <c r="O4" s="48">
        <v>10</v>
      </c>
      <c r="P4" s="73">
        <v>0</v>
      </c>
      <c r="Q4" s="48">
        <v>0</v>
      </c>
      <c r="R4" s="48">
        <v>0</v>
      </c>
      <c r="S4" s="48">
        <v>0</v>
      </c>
      <c r="T4" s="48">
        <v>0</v>
      </c>
      <c r="U4" s="48">
        <v>0</v>
      </c>
      <c r="V4" s="48">
        <v>1.255312155511651E-16</v>
      </c>
      <c r="W4" s="48">
        <v>2.7021057310934499E-12</v>
      </c>
      <c r="X4" s="13"/>
      <c r="Y4" s="13"/>
      <c r="Z4" t="str">
        <f t="shared" ref="Z4:Z17" si="3">A4&amp;B4</f>
        <v>coax zero1.6k</v>
      </c>
      <c r="AA4" s="36">
        <f t="shared" ref="AA4:AA17" si="4">P4*1000000000</f>
        <v>0</v>
      </c>
      <c r="AB4" s="36">
        <f t="shared" ref="AB4:AB17" si="5">Q4*1000000000</f>
        <v>0</v>
      </c>
      <c r="AC4" s="13">
        <f t="shared" ref="AC4:AE7" si="6">R4</f>
        <v>0</v>
      </c>
      <c r="AD4" s="47">
        <f t="shared" si="6"/>
        <v>0</v>
      </c>
      <c r="AE4" s="47">
        <f t="shared" si="6"/>
        <v>0</v>
      </c>
      <c r="AF4" s="13">
        <f t="shared" ref="AF4:AF17" si="7">U4</f>
        <v>0</v>
      </c>
      <c r="AP4" s="32"/>
      <c r="AQ4" s="72" t="s">
        <v>148</v>
      </c>
      <c r="AR4" s="32"/>
      <c r="AS4" s="72" t="s">
        <v>149</v>
      </c>
      <c r="AT4" s="32"/>
    </row>
    <row r="5" spans="1:46" x14ac:dyDescent="0.25">
      <c r="A5" s="48" t="s">
        <v>121</v>
      </c>
      <c r="B5" s="48" t="s">
        <v>72</v>
      </c>
      <c r="C5" s="48" t="s">
        <v>4</v>
      </c>
      <c r="D5" s="48">
        <v>999815</v>
      </c>
      <c r="E5" s="48">
        <v>595</v>
      </c>
      <c r="F5" s="48">
        <v>1595.86</v>
      </c>
      <c r="G5" s="48">
        <v>21.06</v>
      </c>
      <c r="H5" s="48">
        <v>0.25</v>
      </c>
      <c r="I5" s="48">
        <v>10</v>
      </c>
      <c r="J5" s="48">
        <v>0</v>
      </c>
      <c r="K5" s="48">
        <v>2.5000000000000001E-5</v>
      </c>
      <c r="L5" s="48">
        <v>10</v>
      </c>
      <c r="M5" s="48">
        <v>0</v>
      </c>
      <c r="N5" s="48">
        <v>1E-4</v>
      </c>
      <c r="O5" s="48">
        <v>10</v>
      </c>
      <c r="P5" s="73">
        <v>9.9990654991241805E-7</v>
      </c>
      <c r="Q5" s="48">
        <v>7.1465247489979262E-11</v>
      </c>
      <c r="R5" s="48">
        <v>2.0857834727750051</v>
      </c>
      <c r="S5" s="48">
        <v>5.9497169554494865E-7</v>
      </c>
      <c r="T5" s="48">
        <v>3.8024261419651342E-7</v>
      </c>
      <c r="U5" s="48">
        <v>2.2184977127578391</v>
      </c>
      <c r="V5" s="48">
        <v>2.1998069422349769E-11</v>
      </c>
      <c r="W5" s="48">
        <v>2.7070867826826078E-7</v>
      </c>
      <c r="X5" s="13">
        <f t="shared" si="1"/>
        <v>3.248705425821206</v>
      </c>
      <c r="Y5" s="13">
        <f t="shared" si="2"/>
        <v>1.4046192262063693</v>
      </c>
      <c r="Z5" t="str">
        <f t="shared" si="3"/>
        <v>M11.6k</v>
      </c>
      <c r="AA5" s="36">
        <f t="shared" si="4"/>
        <v>999.90654991241809</v>
      </c>
      <c r="AB5" s="36">
        <f t="shared" si="5"/>
        <v>7.1465247489979261E-2</v>
      </c>
      <c r="AC5" s="13">
        <f t="shared" si="6"/>
        <v>2.0857834727750051</v>
      </c>
      <c r="AD5" s="47">
        <f t="shared" si="6"/>
        <v>5.9497169554494865E-7</v>
      </c>
      <c r="AE5" s="47">
        <f t="shared" si="6"/>
        <v>3.8024261419651342E-7</v>
      </c>
      <c r="AF5" s="13">
        <f t="shared" si="7"/>
        <v>2.2184977127578391</v>
      </c>
      <c r="AG5" s="36">
        <f>AA5-AA6</f>
        <v>999.90554982085121</v>
      </c>
      <c r="AH5">
        <f>SQRT(SUMSQ(AB5:AB6,AS5))</f>
        <v>7.1601349107712445E-2</v>
      </c>
      <c r="AI5" s="13">
        <f>AC5</f>
        <v>2.0857834727750051</v>
      </c>
      <c r="AJ5" s="24">
        <f>AD5-AD6</f>
        <v>5.9597164797443597E-7</v>
      </c>
      <c r="AK5">
        <f>SQRT(SUMSQ(AE5:AE6,AQ5))</f>
        <v>1.0705850346891427E-6</v>
      </c>
      <c r="AL5" s="13">
        <f>AF5</f>
        <v>2.2184977127578391</v>
      </c>
      <c r="AM5">
        <f>ATAN(AJ5/(10000*AG5*0.000000001)*1000)</f>
        <v>5.9532364846370915E-2</v>
      </c>
      <c r="AN5">
        <f>ATAN(AK5/(10000*AG5*0.000000001)*1000)</f>
        <v>0.10666227363221044</v>
      </c>
      <c r="AO5" s="13">
        <f>AL5</f>
        <v>2.2184977127578391</v>
      </c>
      <c r="AP5" s="32"/>
      <c r="AQ5" s="32">
        <f>(10000*AG5*0.000000001)^2*AQ$1</f>
        <v>9.9981110856253893E-7</v>
      </c>
      <c r="AR5" s="32"/>
      <c r="AS5" s="32">
        <f>0.1/1000</f>
        <v>1E-4</v>
      </c>
      <c r="AT5" s="32"/>
    </row>
    <row r="6" spans="1:46" x14ac:dyDescent="0.25">
      <c r="A6" s="48" t="s">
        <v>122</v>
      </c>
      <c r="B6" s="48" t="s">
        <v>72</v>
      </c>
      <c r="C6" s="48" t="s">
        <v>4</v>
      </c>
      <c r="D6" s="48">
        <v>1</v>
      </c>
      <c r="E6" s="48">
        <v>-1</v>
      </c>
      <c r="F6" s="48">
        <v>1595.78</v>
      </c>
      <c r="G6" s="48">
        <v>21.15</v>
      </c>
      <c r="H6" s="48">
        <v>0.25</v>
      </c>
      <c r="I6" s="48">
        <v>10</v>
      </c>
      <c r="J6" s="48">
        <v>0</v>
      </c>
      <c r="K6" s="48">
        <v>0</v>
      </c>
      <c r="L6" s="48">
        <v>10</v>
      </c>
      <c r="M6" s="48">
        <v>0</v>
      </c>
      <c r="N6" s="48">
        <v>0</v>
      </c>
      <c r="O6" s="48">
        <v>10</v>
      </c>
      <c r="P6" s="73">
        <v>1.000091566852286E-12</v>
      </c>
      <c r="Q6" s="48">
        <v>4.4115298072806913E-12</v>
      </c>
      <c r="R6" s="48">
        <v>2.0226678096615318</v>
      </c>
      <c r="S6" s="48">
        <v>-9.9995242948730882E-10</v>
      </c>
      <c r="T6" s="48">
        <v>4.4109160548589378E-8</v>
      </c>
      <c r="U6" s="48">
        <v>2.0226678096607409</v>
      </c>
      <c r="V6" s="48">
        <v>1.473325738210367E-16</v>
      </c>
      <c r="W6" s="48">
        <v>2.977919479266407E-12</v>
      </c>
      <c r="X6" s="13"/>
      <c r="Y6" s="13"/>
      <c r="Z6" t="str">
        <f t="shared" si="3"/>
        <v>M1zero1.6k</v>
      </c>
      <c r="AA6" s="36">
        <f t="shared" si="4"/>
        <v>1.0000915668522861E-3</v>
      </c>
      <c r="AB6" s="36">
        <f t="shared" si="5"/>
        <v>4.4115298072806911E-3</v>
      </c>
      <c r="AC6" s="13">
        <f t="shared" si="6"/>
        <v>2.0226678096615318</v>
      </c>
      <c r="AD6" s="47">
        <f t="shared" si="6"/>
        <v>-9.9995242948730882E-10</v>
      </c>
      <c r="AE6" s="47">
        <f t="shared" si="6"/>
        <v>4.4109160548589378E-8</v>
      </c>
      <c r="AF6" s="13">
        <f t="shared" si="7"/>
        <v>2.0226678096607409</v>
      </c>
      <c r="AJ6" s="24"/>
      <c r="AP6" s="32"/>
      <c r="AQ6" s="32"/>
      <c r="AR6" s="32"/>
      <c r="AS6" s="32"/>
      <c r="AT6" s="32"/>
    </row>
    <row r="7" spans="1:46" x14ac:dyDescent="0.25">
      <c r="A7" s="48" t="s">
        <v>123</v>
      </c>
      <c r="B7" s="48" t="s">
        <v>72</v>
      </c>
      <c r="C7" s="48" t="s">
        <v>7</v>
      </c>
      <c r="D7" s="48">
        <v>1001019</v>
      </c>
      <c r="E7" s="48">
        <v>600</v>
      </c>
      <c r="F7" s="48">
        <v>1594.94</v>
      </c>
      <c r="G7" s="48">
        <v>20.94</v>
      </c>
      <c r="H7" s="48">
        <v>0.25</v>
      </c>
      <c r="I7" s="48">
        <v>10</v>
      </c>
      <c r="J7" s="48">
        <v>0</v>
      </c>
      <c r="K7" s="48">
        <v>2.5000000000000001E-5</v>
      </c>
      <c r="L7" s="48">
        <v>10</v>
      </c>
      <c r="M7" s="48">
        <v>0</v>
      </c>
      <c r="N7" s="48">
        <v>1E-4</v>
      </c>
      <c r="O7" s="48">
        <v>10</v>
      </c>
      <c r="P7" s="73">
        <v>1.001110660158908E-7</v>
      </c>
      <c r="Q7" s="48">
        <v>6.6395846138491329E-12</v>
      </c>
      <c r="R7" s="48">
        <v>2.072402428225959</v>
      </c>
      <c r="S7" s="48">
        <v>5.9997145769238531E-8</v>
      </c>
      <c r="T7" s="48">
        <v>3.8026189881427848E-8</v>
      </c>
      <c r="U7" s="48">
        <v>2.2184964310985849</v>
      </c>
      <c r="V7" s="48">
        <v>2.20256884891624E-12</v>
      </c>
      <c r="W7" s="48">
        <v>2.709027711038747E-8</v>
      </c>
      <c r="X7" s="13">
        <f t="shared" si="1"/>
        <v>3.0144731308245363</v>
      </c>
      <c r="Y7" s="13">
        <f t="shared" si="2"/>
        <v>1.4036840496861187</v>
      </c>
      <c r="Z7" t="str">
        <f t="shared" si="3"/>
        <v>M0.11.6k</v>
      </c>
      <c r="AA7" s="36">
        <f t="shared" si="4"/>
        <v>100.1110660158908</v>
      </c>
      <c r="AB7" s="36">
        <f t="shared" si="5"/>
        <v>6.6395846138491326E-3</v>
      </c>
      <c r="AC7" s="13">
        <f t="shared" si="6"/>
        <v>2.072402428225959</v>
      </c>
      <c r="AD7" s="47">
        <f t="shared" si="6"/>
        <v>5.9997145769238531E-8</v>
      </c>
      <c r="AE7" s="47">
        <f t="shared" si="6"/>
        <v>3.8026189881427848E-8</v>
      </c>
      <c r="AF7" s="13">
        <f t="shared" si="7"/>
        <v>2.2184964310985849</v>
      </c>
      <c r="AG7" s="36">
        <f>AA7-AA8</f>
        <v>100.11016593348063</v>
      </c>
      <c r="AH7">
        <f>SQRT(SUMSQ(AB7:AB8,AS7))</f>
        <v>6.6549800149575383E-3</v>
      </c>
      <c r="AI7" s="13">
        <f>AC7</f>
        <v>2.072402428225959</v>
      </c>
      <c r="AJ7" s="24">
        <f>AD7-AD8</f>
        <v>5.9997145769238531E-8</v>
      </c>
      <c r="AK7">
        <f>SQRT(SUMSQ(AE7:AE8,AQ7))</f>
        <v>3.9571386233300112E-8</v>
      </c>
      <c r="AL7" s="13">
        <f>AF7</f>
        <v>2.2184964310985849</v>
      </c>
      <c r="AM7">
        <f>ATAN(AJ7/(10000*AG7*0.000000001)*1000)</f>
        <v>5.9859523998869957E-2</v>
      </c>
      <c r="AN7">
        <f>ATAN(AK7/(10000*AG7*0.000000001)*1000)</f>
        <v>3.9507272537637389E-2</v>
      </c>
      <c r="AO7" s="13">
        <f>AL7</f>
        <v>2.2184964310985849</v>
      </c>
      <c r="AP7" s="32"/>
      <c r="AQ7" s="32">
        <f t="shared" ref="AQ7:AQ13" si="8">(10000*AG7*0.000000001)^2*AQ$1</f>
        <v>1.0022045323229026E-8</v>
      </c>
      <c r="AR7" s="32"/>
      <c r="AS7" s="32">
        <f>0.1/1000</f>
        <v>1E-4</v>
      </c>
      <c r="AT7" s="32"/>
    </row>
    <row r="8" spans="1:46" x14ac:dyDescent="0.25">
      <c r="A8" s="48" t="s">
        <v>124</v>
      </c>
      <c r="B8" s="48" t="s">
        <v>72</v>
      </c>
      <c r="C8" s="48" t="s">
        <v>7</v>
      </c>
      <c r="D8" s="48">
        <v>9</v>
      </c>
      <c r="E8" s="48">
        <v>0</v>
      </c>
      <c r="F8" s="48">
        <v>1594.63</v>
      </c>
      <c r="G8" s="48">
        <v>20.87</v>
      </c>
      <c r="H8" s="48">
        <v>0.25</v>
      </c>
      <c r="I8" s="48">
        <v>10</v>
      </c>
      <c r="J8" s="48">
        <v>0</v>
      </c>
      <c r="K8" s="48">
        <v>0</v>
      </c>
      <c r="L8" s="48">
        <v>10</v>
      </c>
      <c r="M8" s="48">
        <v>0</v>
      </c>
      <c r="N8" s="48">
        <v>0</v>
      </c>
      <c r="O8" s="48">
        <v>10</v>
      </c>
      <c r="P8" s="73">
        <v>9.0008241016705706E-13</v>
      </c>
      <c r="Q8" s="48">
        <v>4.4122007549759201E-13</v>
      </c>
      <c r="R8" s="48">
        <v>2.0226729483725898</v>
      </c>
      <c r="S8" s="48">
        <v>0</v>
      </c>
      <c r="T8" s="48">
        <v>4.4115869101436926E-9</v>
      </c>
      <c r="U8" s="48">
        <v>2.022672948308962</v>
      </c>
      <c r="V8" s="48">
        <v>1.452227570671211E-16</v>
      </c>
      <c r="W8" s="48">
        <v>2.948718701747098E-12</v>
      </c>
      <c r="X8" s="13"/>
      <c r="Y8" s="13"/>
      <c r="Z8" t="str">
        <f t="shared" si="3"/>
        <v>M0.1zero1.6k</v>
      </c>
      <c r="AA8" s="36">
        <f t="shared" si="4"/>
        <v>9.0008241016705708E-4</v>
      </c>
      <c r="AB8" s="36">
        <f t="shared" ref="AB8" si="9">Q8*1000000000</f>
        <v>4.4122007549759199E-4</v>
      </c>
      <c r="AC8" s="13">
        <f t="shared" ref="AC8" si="10">R8</f>
        <v>2.0226729483725898</v>
      </c>
      <c r="AD8" s="47">
        <f t="shared" ref="AD8" si="11">S8</f>
        <v>0</v>
      </c>
      <c r="AE8" s="47">
        <f t="shared" ref="AE8" si="12">T8</f>
        <v>4.4115869101436926E-9</v>
      </c>
      <c r="AF8" s="13">
        <f t="shared" si="7"/>
        <v>2.022672948308962</v>
      </c>
      <c r="AJ8" s="24"/>
      <c r="AP8" s="32"/>
      <c r="AQ8" s="32"/>
      <c r="AR8" s="32"/>
      <c r="AS8" s="32"/>
      <c r="AT8" s="32"/>
    </row>
    <row r="9" spans="1:46" x14ac:dyDescent="0.25">
      <c r="A9" s="48" t="s">
        <v>125</v>
      </c>
      <c r="B9" s="48" t="s">
        <v>72</v>
      </c>
      <c r="C9" s="48" t="s">
        <v>5</v>
      </c>
      <c r="D9" s="48">
        <v>999267</v>
      </c>
      <c r="E9" s="48">
        <v>653</v>
      </c>
      <c r="F9" s="48">
        <v>1594.19</v>
      </c>
      <c r="G9" s="48">
        <v>20.89</v>
      </c>
      <c r="H9" s="48">
        <v>0.25</v>
      </c>
      <c r="I9" s="48">
        <v>10</v>
      </c>
      <c r="J9" s="48">
        <v>0</v>
      </c>
      <c r="K9" s="48">
        <v>2.5000000000000001E-5</v>
      </c>
      <c r="L9" s="48">
        <v>10</v>
      </c>
      <c r="M9" s="48">
        <v>0</v>
      </c>
      <c r="N9" s="48">
        <v>1E-4</v>
      </c>
      <c r="O9" s="48">
        <v>10</v>
      </c>
      <c r="P9" s="73">
        <v>9.9935849973378301E-9</v>
      </c>
      <c r="Q9" s="48">
        <v>6.4228445376084159E-13</v>
      </c>
      <c r="R9" s="48">
        <v>2.0667798183120669</v>
      </c>
      <c r="S9" s="48">
        <v>6.5296893645521268E-9</v>
      </c>
      <c r="T9" s="48">
        <v>3.7924767686406457E-9</v>
      </c>
      <c r="U9" s="48">
        <v>2.2184441011364608</v>
      </c>
      <c r="V9" s="48">
        <v>2.199843255019364E-13</v>
      </c>
      <c r="W9" s="48">
        <v>2.7054491751339678E-9</v>
      </c>
      <c r="X9" s="13">
        <f t="shared" si="1"/>
        <v>2.9196828105609183</v>
      </c>
      <c r="Y9" s="13">
        <f t="shared" si="2"/>
        <v>1.4017919107472609</v>
      </c>
      <c r="Z9" t="str">
        <f t="shared" si="3"/>
        <v>M0.011.6k</v>
      </c>
      <c r="AA9" s="36">
        <f t="shared" si="4"/>
        <v>9.9935849973378303</v>
      </c>
      <c r="AB9" s="36">
        <f t="shared" si="5"/>
        <v>6.4228445376084164E-4</v>
      </c>
      <c r="AC9" s="13">
        <f t="shared" ref="AC9:AE13" si="13">R9</f>
        <v>2.0667798183120669</v>
      </c>
      <c r="AD9" s="46">
        <f t="shared" si="13"/>
        <v>6.5296893645521268E-9</v>
      </c>
      <c r="AE9" s="46">
        <f t="shared" si="13"/>
        <v>3.7924767686406457E-9</v>
      </c>
      <c r="AF9" s="13">
        <f t="shared" si="7"/>
        <v>2.2184441011364608</v>
      </c>
      <c r="AG9" s="36">
        <f>AA9-AA10</f>
        <v>9.9926149085179841</v>
      </c>
      <c r="AH9">
        <f>SQRT(SUMSQ(AB9:AB10,AS9))</f>
        <v>6.5151855118292387E-4</v>
      </c>
      <c r="AI9" s="13">
        <f>AC9</f>
        <v>2.0667798183120669</v>
      </c>
      <c r="AJ9" s="24">
        <f>AD9-AD10</f>
        <v>6.4996907916675071E-9</v>
      </c>
      <c r="AK9">
        <f>SQRT(SUMSQ(AE9:AE10,AQ9))</f>
        <v>3.8193594577618325E-9</v>
      </c>
      <c r="AL9" s="13">
        <f>AF9</f>
        <v>2.2184441011364608</v>
      </c>
      <c r="AM9">
        <f>ATAN(AJ9/(10000*AG9*0.000000001)*1000)</f>
        <v>6.4953444675869901E-2</v>
      </c>
      <c r="AN9">
        <f>ATAN(AK9/(10000*AG9*0.000000001)*1000)</f>
        <v>3.8203225189937462E-2</v>
      </c>
      <c r="AO9" s="13">
        <f>AL9</f>
        <v>2.2184441011364608</v>
      </c>
      <c r="AP9" s="32"/>
      <c r="AQ9" s="32">
        <f t="shared" si="8"/>
        <v>9.9852352709935887E-11</v>
      </c>
      <c r="AR9" s="32"/>
      <c r="AS9" s="32">
        <f>0.1/1000</f>
        <v>1E-4</v>
      </c>
      <c r="AT9" s="32"/>
    </row>
    <row r="10" spans="1:46" x14ac:dyDescent="0.25">
      <c r="A10" s="48" t="s">
        <v>126</v>
      </c>
      <c r="B10" s="48" t="s">
        <v>72</v>
      </c>
      <c r="C10" s="48" t="s">
        <v>5</v>
      </c>
      <c r="D10" s="48">
        <v>97</v>
      </c>
      <c r="E10" s="48">
        <v>3</v>
      </c>
      <c r="F10" s="48">
        <v>1593.95</v>
      </c>
      <c r="G10" s="48">
        <v>20.85</v>
      </c>
      <c r="H10" s="48">
        <v>0.25</v>
      </c>
      <c r="I10" s="48">
        <v>10</v>
      </c>
      <c r="J10" s="48">
        <v>0</v>
      </c>
      <c r="K10" s="48">
        <v>0</v>
      </c>
      <c r="L10" s="48">
        <v>10</v>
      </c>
      <c r="M10" s="48">
        <v>0</v>
      </c>
      <c r="N10" s="48">
        <v>0</v>
      </c>
      <c r="O10" s="48">
        <v>10</v>
      </c>
      <c r="P10" s="73">
        <v>9.7008881984671697E-13</v>
      </c>
      <c r="Q10" s="48">
        <v>4.4125989990406681E-14</v>
      </c>
      <c r="R10" s="48">
        <v>2.022675938661151</v>
      </c>
      <c r="S10" s="48">
        <v>2.9998572884619261E-11</v>
      </c>
      <c r="T10" s="48">
        <v>4.4119852059368501E-10</v>
      </c>
      <c r="U10" s="48">
        <v>2.022675931396972</v>
      </c>
      <c r="V10" s="48">
        <v>1.468164043016926E-16</v>
      </c>
      <c r="W10" s="48">
        <v>2.9663915165742522E-12</v>
      </c>
      <c r="X10" s="13"/>
      <c r="Y10" s="13"/>
      <c r="Z10" t="str">
        <f t="shared" si="3"/>
        <v>M0.01zero1.6k</v>
      </c>
      <c r="AA10" s="36">
        <f t="shared" si="4"/>
        <v>9.7008881984671702E-4</v>
      </c>
      <c r="AB10" s="36">
        <f t="shared" si="5"/>
        <v>4.4125989990406684E-5</v>
      </c>
      <c r="AC10" s="13">
        <f t="shared" si="13"/>
        <v>2.022675938661151</v>
      </c>
      <c r="AD10" s="46">
        <f t="shared" si="13"/>
        <v>2.9998572884619261E-11</v>
      </c>
      <c r="AE10" s="46">
        <f t="shared" si="13"/>
        <v>4.4119852059368501E-10</v>
      </c>
      <c r="AF10" s="13">
        <f t="shared" si="7"/>
        <v>2.022675931396972</v>
      </c>
      <c r="AJ10" s="24"/>
      <c r="AP10" s="32"/>
      <c r="AQ10" s="32"/>
      <c r="AR10" s="32"/>
      <c r="AS10" s="32"/>
      <c r="AT10" s="32"/>
    </row>
    <row r="11" spans="1:46" x14ac:dyDescent="0.25">
      <c r="A11" s="48" t="s">
        <v>127</v>
      </c>
      <c r="B11" s="48" t="s">
        <v>72</v>
      </c>
      <c r="C11" s="48" t="s">
        <v>3</v>
      </c>
      <c r="D11" s="48">
        <v>988944</v>
      </c>
      <c r="E11" s="48">
        <v>183</v>
      </c>
      <c r="F11" s="48">
        <v>1593.22</v>
      </c>
      <c r="G11" s="48">
        <v>21.12</v>
      </c>
      <c r="H11" s="48">
        <v>0.25</v>
      </c>
      <c r="I11" s="48">
        <v>10</v>
      </c>
      <c r="J11" s="48">
        <v>0</v>
      </c>
      <c r="K11" s="48">
        <v>2.5000000000000001E-5</v>
      </c>
      <c r="L11" s="48">
        <v>10</v>
      </c>
      <c r="M11" s="48">
        <v>0</v>
      </c>
      <c r="N11" s="48">
        <v>1E-4</v>
      </c>
      <c r="O11" s="48">
        <v>10</v>
      </c>
      <c r="P11" s="73">
        <v>9.8909421758272175E-10</v>
      </c>
      <c r="Q11" s="48">
        <v>7.3342527618633708E-14</v>
      </c>
      <c r="R11" s="48">
        <v>2.0922642604954929</v>
      </c>
      <c r="S11" s="48">
        <v>1.7000199580095341E-10</v>
      </c>
      <c r="T11" s="48">
        <v>3.7493329581667688E-10</v>
      </c>
      <c r="U11" s="48">
        <v>2.2182036821523758</v>
      </c>
      <c r="V11" s="48">
        <v>2.1885582725102929E-14</v>
      </c>
      <c r="W11" s="48">
        <v>2.7003831708737432E-10</v>
      </c>
      <c r="X11" s="13">
        <f t="shared" si="1"/>
        <v>3.3511800229339688</v>
      </c>
      <c r="Y11" s="13">
        <f t="shared" si="2"/>
        <v>1.3884447950227836</v>
      </c>
      <c r="Z11" t="str">
        <f t="shared" si="3"/>
        <v>M0.0011.6k</v>
      </c>
      <c r="AA11" s="36">
        <f t="shared" si="4"/>
        <v>0.98909421758272176</v>
      </c>
      <c r="AB11" s="36">
        <f t="shared" si="5"/>
        <v>7.334252761863371E-5</v>
      </c>
      <c r="AC11" s="13">
        <f t="shared" si="13"/>
        <v>2.0922642604954929</v>
      </c>
      <c r="AD11" s="46">
        <f t="shared" si="13"/>
        <v>1.7000199580095341E-10</v>
      </c>
      <c r="AE11" s="46">
        <f t="shared" si="13"/>
        <v>3.7493329581667688E-10</v>
      </c>
      <c r="AF11" s="13">
        <f t="shared" si="7"/>
        <v>2.2182036821523758</v>
      </c>
      <c r="AG11" s="36">
        <f>AA11-AA12</f>
        <v>0.98801305447536303</v>
      </c>
      <c r="AH11">
        <f>SQRT(SUMSQ(AB11:AB12,AS11))</f>
        <v>1.2409126123046163E-4</v>
      </c>
      <c r="AI11" s="13">
        <f>AC11</f>
        <v>2.0922642604954929</v>
      </c>
      <c r="AJ11" s="24">
        <f>AD11-AD12</f>
        <v>1.7100200754095901E-10</v>
      </c>
      <c r="AK11">
        <f>SQRT(SUMSQ(AE11:AE12,AQ11))</f>
        <v>3.7752731489857491E-10</v>
      </c>
      <c r="AL11" s="13">
        <f>AF11</f>
        <v>2.2182036821523758</v>
      </c>
      <c r="AM11">
        <f>ATAN(AJ11/(10000*AG11*0.000000001)*1000)</f>
        <v>1.7305938922610467E-2</v>
      </c>
      <c r="AN11">
        <f>ATAN(AK11/(10000*AG11*0.000000001)*1000)</f>
        <v>3.8192181386740222E-2</v>
      </c>
      <c r="AO11" s="13">
        <f>AL11</f>
        <v>2.2182036821523758</v>
      </c>
      <c r="AP11" s="32"/>
      <c r="AQ11" s="32">
        <f t="shared" si="8"/>
        <v>9.7616979581373702E-13</v>
      </c>
      <c r="AR11" s="32"/>
      <c r="AS11" s="32">
        <f>0.1/1000</f>
        <v>1E-4</v>
      </c>
      <c r="AT11" s="32"/>
    </row>
    <row r="12" spans="1:46" x14ac:dyDescent="0.25">
      <c r="A12" s="48" t="s">
        <v>128</v>
      </c>
      <c r="B12" s="48" t="s">
        <v>72</v>
      </c>
      <c r="C12" s="48" t="s">
        <v>3</v>
      </c>
      <c r="D12" s="48">
        <v>1080</v>
      </c>
      <c r="E12" s="48">
        <v>12</v>
      </c>
      <c r="F12" s="48">
        <v>1593.15</v>
      </c>
      <c r="G12" s="48">
        <v>21.1</v>
      </c>
      <c r="H12" s="48">
        <v>0.25</v>
      </c>
      <c r="I12" s="48">
        <v>10</v>
      </c>
      <c r="J12" s="48">
        <v>0</v>
      </c>
      <c r="K12" s="48">
        <v>0</v>
      </c>
      <c r="L12" s="48">
        <v>10</v>
      </c>
      <c r="M12" s="48">
        <v>0</v>
      </c>
      <c r="N12" s="48">
        <v>0</v>
      </c>
      <c r="O12" s="48">
        <v>10</v>
      </c>
      <c r="P12" s="73">
        <v>1.081163107358773E-12</v>
      </c>
      <c r="Q12" s="48">
        <v>4.4175509365051797E-15</v>
      </c>
      <c r="R12" s="48">
        <v>2.022702015889474</v>
      </c>
      <c r="S12" s="48">
        <v>-1.0000117400056079E-12</v>
      </c>
      <c r="T12" s="48">
        <v>4.4169494847708967E-11</v>
      </c>
      <c r="U12" s="48">
        <v>2.022701134149786</v>
      </c>
      <c r="V12" s="48">
        <v>1.4930104228121289E-16</v>
      </c>
      <c r="W12" s="48">
        <v>2.994652596530701E-12</v>
      </c>
      <c r="X12" s="13"/>
      <c r="Y12" s="13"/>
      <c r="Z12" t="str">
        <f t="shared" si="3"/>
        <v>M0.001zero1.6k</v>
      </c>
      <c r="AA12" s="36">
        <f t="shared" si="4"/>
        <v>1.0811631073587729E-3</v>
      </c>
      <c r="AB12" s="36">
        <f t="shared" si="5"/>
        <v>4.4175509365051795E-6</v>
      </c>
      <c r="AC12" s="13">
        <f t="shared" si="13"/>
        <v>2.022702015889474</v>
      </c>
      <c r="AD12" s="46">
        <f t="shared" si="13"/>
        <v>-1.0000117400056079E-12</v>
      </c>
      <c r="AE12" s="46">
        <f t="shared" si="13"/>
        <v>4.4169494847708967E-11</v>
      </c>
      <c r="AF12" s="13">
        <f t="shared" si="7"/>
        <v>2.022701134149786</v>
      </c>
      <c r="AJ12" s="24"/>
      <c r="AP12" s="32"/>
      <c r="AQ12" s="32"/>
      <c r="AR12" s="32"/>
      <c r="AS12" s="32"/>
      <c r="AT12" s="32"/>
    </row>
    <row r="13" spans="1:46" x14ac:dyDescent="0.25">
      <c r="A13" s="48" t="s">
        <v>129</v>
      </c>
      <c r="B13" s="48" t="s">
        <v>72</v>
      </c>
      <c r="C13" s="48" t="s">
        <v>3</v>
      </c>
      <c r="D13" s="48">
        <v>491422</v>
      </c>
      <c r="E13" s="48">
        <v>313</v>
      </c>
      <c r="F13" s="48">
        <v>1593.08</v>
      </c>
      <c r="G13" s="48">
        <v>21.04</v>
      </c>
      <c r="H13" s="48">
        <v>0.25</v>
      </c>
      <c r="I13" s="48">
        <v>10</v>
      </c>
      <c r="J13" s="48">
        <v>0</v>
      </c>
      <c r="K13" s="48">
        <v>2.5000000000000001E-5</v>
      </c>
      <c r="L13" s="48">
        <v>10</v>
      </c>
      <c r="M13" s="48">
        <v>0</v>
      </c>
      <c r="N13" s="48">
        <v>1E-4</v>
      </c>
      <c r="O13" s="48">
        <v>10</v>
      </c>
      <c r="P13" s="73">
        <v>4.9149714866565265E-10</v>
      </c>
      <c r="Q13" s="48">
        <v>3.486650855130246E-14</v>
      </c>
      <c r="R13" s="48">
        <v>2.080247270689874</v>
      </c>
      <c r="S13" s="48">
        <v>3.0000352200168249E-10</v>
      </c>
      <c r="T13" s="48">
        <v>1.8865482224700031E-10</v>
      </c>
      <c r="U13" s="48">
        <v>2.1914036340322078</v>
      </c>
      <c r="V13" s="48">
        <v>1.0938458240684649E-14</v>
      </c>
      <c r="W13" s="48">
        <v>1.3553417604500341E-10</v>
      </c>
      <c r="X13" s="13">
        <f t="shared" si="1"/>
        <v>3.1875158074489418</v>
      </c>
      <c r="Y13" s="13">
        <f t="shared" si="2"/>
        <v>1.3919354346785453</v>
      </c>
      <c r="Z13" t="str">
        <f t="shared" si="3"/>
        <v>M0.00051.6k</v>
      </c>
      <c r="AA13" s="36">
        <f t="shared" si="4"/>
        <v>0.49149714866565264</v>
      </c>
      <c r="AB13" s="36">
        <f t="shared" si="5"/>
        <v>3.4866508551302457E-5</v>
      </c>
      <c r="AC13" s="13">
        <f t="shared" si="13"/>
        <v>2.080247270689874</v>
      </c>
      <c r="AD13" s="46">
        <f t="shared" si="13"/>
        <v>3.0000352200168249E-10</v>
      </c>
      <c r="AE13" s="46">
        <f t="shared" si="13"/>
        <v>1.8865482224700031E-10</v>
      </c>
      <c r="AF13" s="13">
        <f t="shared" si="7"/>
        <v>2.1914036340322078</v>
      </c>
      <c r="AG13" s="36">
        <f>AA13-AA14</f>
        <v>0.49052800245748368</v>
      </c>
      <c r="AH13">
        <f>SQRT(SUMSQ(AB13:AB14,AS13))</f>
        <v>1.0599618126166668E-4</v>
      </c>
      <c r="AI13" s="13">
        <f>AC13</f>
        <v>2.080247270689874</v>
      </c>
      <c r="AJ13" s="24">
        <f>AD13-AD14</f>
        <v>3.0000352200168249E-10</v>
      </c>
      <c r="AK13">
        <f>SQRT(SUMSQ(AE13:AE14,AQ13))</f>
        <v>1.9375724087539492E-10</v>
      </c>
      <c r="AL13" s="13">
        <f>AF13</f>
        <v>2.1914036340322078</v>
      </c>
      <c r="AM13">
        <f>ATAN(AJ13/(10000*AG13*0.000000001)*1000)</f>
        <v>6.1083222012727811E-2</v>
      </c>
      <c r="AN13">
        <f>ATAN(AK13/(10000*AG13*0.000000001)*1000)</f>
        <v>3.9479207220544564E-2</v>
      </c>
      <c r="AO13" s="13">
        <f>AL13</f>
        <v>2.1914036340322078</v>
      </c>
      <c r="AP13" s="32"/>
      <c r="AQ13" s="32">
        <f t="shared" si="8"/>
        <v>2.4061772119492913E-13</v>
      </c>
      <c r="AR13" s="32"/>
      <c r="AS13" s="32">
        <f>0.1/1000</f>
        <v>1E-4</v>
      </c>
      <c r="AT13" s="32"/>
    </row>
    <row r="14" spans="1:46" x14ac:dyDescent="0.25">
      <c r="A14" s="48" t="s">
        <v>130</v>
      </c>
      <c r="B14" s="48" t="s">
        <v>72</v>
      </c>
      <c r="C14" s="48" t="s">
        <v>3</v>
      </c>
      <c r="D14" s="48">
        <v>968</v>
      </c>
      <c r="E14" s="48">
        <v>13</v>
      </c>
      <c r="F14" s="48">
        <v>1592.67</v>
      </c>
      <c r="G14" s="48">
        <v>21.03</v>
      </c>
      <c r="H14" s="48">
        <v>0.25</v>
      </c>
      <c r="I14" s="48">
        <v>10</v>
      </c>
      <c r="J14" s="48">
        <v>0</v>
      </c>
      <c r="K14" s="48">
        <v>0</v>
      </c>
      <c r="L14" s="48">
        <v>10</v>
      </c>
      <c r="M14" s="48">
        <v>0</v>
      </c>
      <c r="N14" s="48">
        <v>0</v>
      </c>
      <c r="O14" s="48">
        <v>10</v>
      </c>
      <c r="P14" s="73">
        <v>9.6914620816896511E-13</v>
      </c>
      <c r="Q14" s="48">
        <v>4.4178075442522706E-15</v>
      </c>
      <c r="R14" s="48">
        <v>2.0227057623328442</v>
      </c>
      <c r="S14" s="48">
        <v>0</v>
      </c>
      <c r="T14" s="48">
        <v>4.4172033434185112E-11</v>
      </c>
      <c r="U14" s="48">
        <v>2.0227050625723959</v>
      </c>
      <c r="V14" s="48">
        <v>1.4687450506581791E-16</v>
      </c>
      <c r="W14" s="48">
        <v>2.9634844807560461E-12</v>
      </c>
      <c r="X14" s="13"/>
      <c r="Y14" s="13"/>
      <c r="Z14" t="str">
        <f t="shared" si="3"/>
        <v>M0.0005zero1.6k</v>
      </c>
      <c r="AA14" s="36">
        <f t="shared" ref="AA14" si="14">P14*1000000000</f>
        <v>9.6914620816896508E-4</v>
      </c>
      <c r="AB14" s="36">
        <f t="shared" ref="AB14" si="15">Q14*1000000000</f>
        <v>4.4178075442522707E-6</v>
      </c>
      <c r="AC14" s="13">
        <f t="shared" ref="AC14" si="16">R14</f>
        <v>2.0227057623328442</v>
      </c>
      <c r="AD14" s="46">
        <f t="shared" ref="AD14" si="17">S14</f>
        <v>0</v>
      </c>
      <c r="AE14" s="46">
        <f t="shared" ref="AE14" si="18">T14</f>
        <v>4.4172033434185112E-11</v>
      </c>
      <c r="AF14" s="13">
        <f t="shared" si="7"/>
        <v>2.0227050625723959</v>
      </c>
    </row>
    <row r="15" spans="1:46" x14ac:dyDescent="0.25">
      <c r="A15" s="48" t="s">
        <v>71</v>
      </c>
      <c r="B15" s="48" t="s">
        <v>72</v>
      </c>
      <c r="C15" s="48" t="s">
        <v>4</v>
      </c>
      <c r="D15" s="48">
        <v>0</v>
      </c>
      <c r="E15" s="48">
        <v>0</v>
      </c>
      <c r="F15" s="48">
        <v>1600</v>
      </c>
      <c r="G15" s="48">
        <v>20</v>
      </c>
      <c r="H15" s="48">
        <v>0.25</v>
      </c>
      <c r="I15" s="48">
        <v>10</v>
      </c>
      <c r="J15" s="48">
        <v>0</v>
      </c>
      <c r="K15" s="48">
        <v>0</v>
      </c>
      <c r="L15" s="48">
        <v>10</v>
      </c>
      <c r="M15" s="48">
        <v>0</v>
      </c>
      <c r="N15" s="48">
        <v>0</v>
      </c>
      <c r="O15" s="48">
        <v>10</v>
      </c>
      <c r="P15" s="73">
        <v>0</v>
      </c>
      <c r="Q15" s="48">
        <v>0</v>
      </c>
      <c r="R15" s="48">
        <v>0</v>
      </c>
      <c r="S15" s="48">
        <v>0</v>
      </c>
      <c r="T15" s="48">
        <v>0</v>
      </c>
      <c r="U15" s="48">
        <v>0</v>
      </c>
      <c r="V15" s="48">
        <v>1.2500000000000001E-16</v>
      </c>
      <c r="W15" s="48">
        <v>0</v>
      </c>
      <c r="X15" s="13">
        <f t="shared" si="1"/>
        <v>0</v>
      </c>
      <c r="Y15" s="13" t="e">
        <f t="shared" si="2"/>
        <v>#DIV/0!</v>
      </c>
      <c r="Z15" t="str">
        <f t="shared" si="3"/>
        <v>coax zero1.6k</v>
      </c>
      <c r="AA15" s="36">
        <f t="shared" si="4"/>
        <v>0</v>
      </c>
      <c r="AB15" s="36">
        <f t="shared" si="5"/>
        <v>0</v>
      </c>
      <c r="AC15" s="13">
        <f t="shared" ref="AC15:AE17" si="19">R15</f>
        <v>0</v>
      </c>
      <c r="AD15" s="46">
        <f t="shared" si="19"/>
        <v>0</v>
      </c>
      <c r="AE15" s="46">
        <f t="shared" si="19"/>
        <v>0</v>
      </c>
      <c r="AF15" s="13">
        <f t="shared" si="7"/>
        <v>0</v>
      </c>
    </row>
    <row r="16" spans="1:46" x14ac:dyDescent="0.25">
      <c r="A16" s="48" t="s">
        <v>71</v>
      </c>
      <c r="B16" s="48" t="s">
        <v>72</v>
      </c>
      <c r="C16" s="48" t="s">
        <v>7</v>
      </c>
      <c r="D16" s="48">
        <v>0</v>
      </c>
      <c r="E16" s="48">
        <v>0</v>
      </c>
      <c r="F16" s="48">
        <v>1600</v>
      </c>
      <c r="G16" s="48">
        <v>20</v>
      </c>
      <c r="H16" s="48">
        <v>0.25</v>
      </c>
      <c r="I16" s="48">
        <v>10</v>
      </c>
      <c r="J16" s="48">
        <v>0</v>
      </c>
      <c r="K16" s="48">
        <v>0</v>
      </c>
      <c r="L16" s="48">
        <v>10</v>
      </c>
      <c r="M16" s="48">
        <v>0</v>
      </c>
      <c r="N16" s="48">
        <v>0</v>
      </c>
      <c r="O16" s="48">
        <v>10</v>
      </c>
      <c r="P16" s="73">
        <v>0</v>
      </c>
      <c r="Q16" s="48">
        <v>0</v>
      </c>
      <c r="R16" s="48">
        <v>0</v>
      </c>
      <c r="S16" s="48">
        <v>0</v>
      </c>
      <c r="T16" s="48">
        <v>0</v>
      </c>
      <c r="U16" s="48">
        <v>0</v>
      </c>
      <c r="V16" s="48">
        <v>1.2500000000000001E-16</v>
      </c>
      <c r="W16" s="48">
        <v>0</v>
      </c>
      <c r="X16" s="13">
        <f t="shared" si="1"/>
        <v>0</v>
      </c>
      <c r="Y16" s="13" t="e">
        <f t="shared" si="2"/>
        <v>#DIV/0!</v>
      </c>
      <c r="Z16" t="str">
        <f t="shared" si="3"/>
        <v>coax zero1.6k</v>
      </c>
      <c r="AA16" s="36">
        <f t="shared" si="4"/>
        <v>0</v>
      </c>
      <c r="AB16" s="36">
        <f t="shared" si="5"/>
        <v>0</v>
      </c>
      <c r="AC16" s="13">
        <f t="shared" si="19"/>
        <v>0</v>
      </c>
      <c r="AD16" s="46">
        <f t="shared" si="19"/>
        <v>0</v>
      </c>
      <c r="AE16" s="46">
        <f t="shared" si="19"/>
        <v>0</v>
      </c>
      <c r="AF16" s="13">
        <f t="shared" si="7"/>
        <v>0</v>
      </c>
    </row>
    <row r="17" spans="1:32" x14ac:dyDescent="0.25">
      <c r="A17" s="48" t="s">
        <v>71</v>
      </c>
      <c r="B17" s="48" t="s">
        <v>72</v>
      </c>
      <c r="C17" s="48" t="s">
        <v>5</v>
      </c>
      <c r="D17" s="48">
        <v>0</v>
      </c>
      <c r="E17" s="48">
        <v>0</v>
      </c>
      <c r="F17" s="48">
        <v>1600</v>
      </c>
      <c r="G17" s="48">
        <v>20</v>
      </c>
      <c r="H17" s="48">
        <v>0.25</v>
      </c>
      <c r="I17" s="48">
        <v>10</v>
      </c>
      <c r="J17" s="48">
        <v>0</v>
      </c>
      <c r="K17" s="48">
        <v>0</v>
      </c>
      <c r="L17" s="48">
        <v>10</v>
      </c>
      <c r="M17" s="48">
        <v>0</v>
      </c>
      <c r="N17" s="48">
        <v>0</v>
      </c>
      <c r="O17" s="48">
        <v>10</v>
      </c>
      <c r="P17" s="73">
        <v>0</v>
      </c>
      <c r="Q17" s="48">
        <v>0</v>
      </c>
      <c r="R17" s="48">
        <v>0</v>
      </c>
      <c r="S17" s="48">
        <v>0</v>
      </c>
      <c r="T17" s="48">
        <v>0</v>
      </c>
      <c r="U17" s="48">
        <v>0</v>
      </c>
      <c r="V17" s="48">
        <v>1.2500000000000001E-16</v>
      </c>
      <c r="W17" s="48">
        <v>0</v>
      </c>
      <c r="X17" s="13">
        <f t="shared" si="1"/>
        <v>0</v>
      </c>
      <c r="Y17" s="13" t="e">
        <f t="shared" si="2"/>
        <v>#DIV/0!</v>
      </c>
      <c r="Z17" t="str">
        <f t="shared" si="3"/>
        <v>coax zero1.6k</v>
      </c>
      <c r="AA17" s="36">
        <f t="shared" si="4"/>
        <v>0</v>
      </c>
      <c r="AB17" s="36">
        <f t="shared" si="5"/>
        <v>0</v>
      </c>
      <c r="AC17" s="13">
        <f t="shared" si="19"/>
        <v>0</v>
      </c>
      <c r="AD17" s="46">
        <f t="shared" si="19"/>
        <v>0</v>
      </c>
      <c r="AE17" s="46">
        <f t="shared" si="19"/>
        <v>0</v>
      </c>
      <c r="AF17" s="13">
        <f t="shared" si="7"/>
        <v>0</v>
      </c>
    </row>
    <row r="18" spans="1:32" x14ac:dyDescent="0.25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13"/>
      <c r="Y18" s="13"/>
      <c r="AA18" s="13"/>
      <c r="AB18" s="13"/>
      <c r="AC18" s="13"/>
      <c r="AD18" s="46"/>
      <c r="AE18" s="46"/>
      <c r="AF18" s="13"/>
    </row>
    <row r="19" spans="1:32" x14ac:dyDescent="0.25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13"/>
      <c r="Y19" s="13"/>
      <c r="AA19" s="13"/>
      <c r="AB19" s="13"/>
      <c r="AC19" s="13"/>
      <c r="AD19" s="46"/>
      <c r="AE19" s="46"/>
      <c r="AF19" s="13"/>
    </row>
    <row r="20" spans="1:32" x14ac:dyDescent="0.25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13"/>
      <c r="Y20" s="13"/>
      <c r="AA20" s="13"/>
      <c r="AB20" s="13"/>
      <c r="AC20" s="13"/>
      <c r="AD20" s="47"/>
      <c r="AE20" s="47"/>
      <c r="AF20" s="13"/>
    </row>
    <row r="21" spans="1:32" x14ac:dyDescent="0.25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13"/>
      <c r="Y21" s="13"/>
      <c r="AA21" s="13"/>
      <c r="AB21" s="13"/>
      <c r="AC21" s="13"/>
      <c r="AD21" s="47"/>
      <c r="AE21" s="47"/>
      <c r="AF21" s="13"/>
    </row>
    <row r="22" spans="1:32" x14ac:dyDescent="0.25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13"/>
      <c r="Y22" s="13"/>
      <c r="AA22" s="13"/>
      <c r="AB22" s="13"/>
      <c r="AC22" s="13"/>
      <c r="AD22" s="47"/>
      <c r="AE22" s="47"/>
      <c r="AF22" s="13"/>
    </row>
    <row r="23" spans="1:32" x14ac:dyDescent="0.25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13"/>
      <c r="Y23" s="13"/>
      <c r="AA23" s="13"/>
      <c r="AB23" s="13"/>
      <c r="AC23" s="13"/>
      <c r="AD23" s="47"/>
      <c r="AE23" s="47"/>
      <c r="AF23" s="13"/>
    </row>
    <row r="24" spans="1:32" x14ac:dyDescent="0.25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13"/>
      <c r="Y24" s="13"/>
      <c r="AA24" s="13"/>
      <c r="AB24" s="13"/>
      <c r="AC24" s="13"/>
      <c r="AD24" s="46"/>
      <c r="AE24" s="46"/>
      <c r="AF24" s="13"/>
    </row>
    <row r="25" spans="1:32" x14ac:dyDescent="0.25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13"/>
      <c r="Y25" s="13"/>
      <c r="AA25" s="13"/>
      <c r="AB25" s="13"/>
      <c r="AC25" s="13"/>
      <c r="AD25" s="46"/>
      <c r="AE25" s="46"/>
      <c r="AF25" s="13"/>
    </row>
    <row r="26" spans="1:32" x14ac:dyDescent="0.25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13"/>
      <c r="Y26" s="13"/>
      <c r="AA26" s="13"/>
      <c r="AB26" s="13"/>
      <c r="AC26" s="13"/>
      <c r="AD26" s="46"/>
      <c r="AE26" s="46"/>
      <c r="AF26" s="13"/>
    </row>
    <row r="27" spans="1:32" x14ac:dyDescent="0.25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13"/>
      <c r="Y27" s="13"/>
      <c r="AA27" s="13"/>
      <c r="AB27" s="13"/>
      <c r="AC27" s="13"/>
      <c r="AD27" s="46"/>
      <c r="AE27" s="46"/>
      <c r="AF27" s="13"/>
    </row>
    <row r="28" spans="1:32" x14ac:dyDescent="0.25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13"/>
      <c r="Y28" s="13"/>
      <c r="AA28" s="13"/>
      <c r="AB28" s="13"/>
    </row>
    <row r="30" spans="1:32" x14ac:dyDescent="0.25">
      <c r="A30" t="s">
        <v>158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22"/>
  <sheetViews>
    <sheetView showGridLines="0" topLeftCell="D1" zoomScale="120" zoomScaleNormal="120" workbookViewId="0">
      <selection activeCell="N7" sqref="N7"/>
    </sheetView>
  </sheetViews>
  <sheetFormatPr defaultRowHeight="12.5" x14ac:dyDescent="0.25"/>
  <cols>
    <col min="2" max="3" width="13.81640625" customWidth="1"/>
    <col min="4" max="4" width="9.453125" customWidth="1"/>
    <col min="5" max="5" width="12.81640625" customWidth="1"/>
    <col min="6" max="6" width="12.54296875" customWidth="1"/>
    <col min="8" max="8" width="13" customWidth="1"/>
    <col min="9" max="9" width="12.7265625" bestFit="1" customWidth="1"/>
    <col min="12" max="12" width="13.81640625" customWidth="1"/>
    <col min="13" max="13" width="9.453125" customWidth="1"/>
    <col min="14" max="14" width="12.81640625" customWidth="1"/>
    <col min="15" max="15" width="12.54296875" customWidth="1"/>
    <col min="17" max="17" width="13" customWidth="1"/>
    <col min="18" max="18" width="12.7265625" bestFit="1" customWidth="1"/>
    <col min="21" max="21" width="13.81640625" customWidth="1"/>
    <col min="22" max="22" width="9.453125" customWidth="1"/>
    <col min="23" max="23" width="12.81640625" customWidth="1"/>
    <col min="24" max="24" width="12.54296875" customWidth="1"/>
    <col min="26" max="26" width="13" customWidth="1"/>
    <col min="27" max="27" width="12.7265625" bestFit="1" customWidth="1"/>
  </cols>
  <sheetData>
    <row r="1" spans="1:28" x14ac:dyDescent="0.25">
      <c r="C1" s="25" t="s">
        <v>154</v>
      </c>
      <c r="L1" s="25" t="s">
        <v>153</v>
      </c>
      <c r="U1" s="25" t="s">
        <v>152</v>
      </c>
    </row>
    <row r="2" spans="1:28" x14ac:dyDescent="0.25">
      <c r="C2" s="3"/>
      <c r="D2" s="3"/>
      <c r="E2" s="3"/>
      <c r="F2" s="3"/>
      <c r="G2" s="3"/>
      <c r="H2" s="3"/>
      <c r="I2" s="3"/>
      <c r="J2" s="3"/>
    </row>
    <row r="3" spans="1:28" ht="42.75" customHeight="1" x14ac:dyDescent="0.25">
      <c r="C3" s="69" t="s">
        <v>107</v>
      </c>
      <c r="D3" s="69" t="s">
        <v>136</v>
      </c>
      <c r="E3" s="69" t="s">
        <v>137</v>
      </c>
      <c r="F3" s="69" t="s">
        <v>142</v>
      </c>
      <c r="G3" s="70" t="s">
        <v>1</v>
      </c>
      <c r="H3" s="69" t="s">
        <v>143</v>
      </c>
      <c r="I3" s="69" t="s">
        <v>144</v>
      </c>
      <c r="J3" s="70" t="s">
        <v>1</v>
      </c>
      <c r="L3" s="69" t="s">
        <v>107</v>
      </c>
      <c r="M3" s="69" t="s">
        <v>136</v>
      </c>
      <c r="N3" s="69" t="s">
        <v>137</v>
      </c>
      <c r="O3" s="69" t="s">
        <v>142</v>
      </c>
      <c r="P3" s="70" t="s">
        <v>1</v>
      </c>
      <c r="Q3" s="69" t="s">
        <v>143</v>
      </c>
      <c r="R3" s="69" t="s">
        <v>144</v>
      </c>
      <c r="S3" s="70" t="s">
        <v>1</v>
      </c>
      <c r="U3" s="69" t="s">
        <v>107</v>
      </c>
      <c r="V3" s="69" t="s">
        <v>136</v>
      </c>
      <c r="W3" s="69" t="s">
        <v>137</v>
      </c>
      <c r="X3" s="69" t="s">
        <v>142</v>
      </c>
      <c r="Y3" s="70" t="s">
        <v>1</v>
      </c>
      <c r="Z3" s="69" t="s">
        <v>143</v>
      </c>
      <c r="AA3" s="69" t="s">
        <v>144</v>
      </c>
      <c r="AB3" s="70" t="s">
        <v>1</v>
      </c>
    </row>
    <row r="4" spans="1:28" ht="13.5" customHeight="1" x14ac:dyDescent="0.3">
      <c r="A4" t="s">
        <v>131</v>
      </c>
      <c r="C4" s="30">
        <v>365442</v>
      </c>
      <c r="D4" s="61">
        <v>1</v>
      </c>
      <c r="E4" s="68">
        <f>VLOOKUP(A4,pyvalues,8,FALSE)</f>
        <v>999.90554982085121</v>
      </c>
      <c r="F4" s="68">
        <f>VLOOKUP(A4,pyvalues,9,FALSE)</f>
        <v>7.1601349107712445E-2</v>
      </c>
      <c r="G4" s="51">
        <f>VLOOKUP(A4,pyvalues,10,FALSE)</f>
        <v>2.0857834727750051</v>
      </c>
      <c r="H4" s="71">
        <f>VLOOKUP(A4,pyvalues,14,FALSE)</f>
        <v>5.9532364846370915E-2</v>
      </c>
      <c r="I4" s="71">
        <f>VLOOKUP(A4,pyvalues,15,FALSE)</f>
        <v>0.10666227363221044</v>
      </c>
      <c r="J4" s="51">
        <f>VLOOKUP(A4,pyvalues,16,FALSE)</f>
        <v>2.2184977127578391</v>
      </c>
      <c r="L4" s="30">
        <v>365442</v>
      </c>
      <c r="M4" s="61">
        <v>1</v>
      </c>
      <c r="N4" s="68">
        <f>N14*1000000000</f>
        <v>999.90554982085121</v>
      </c>
      <c r="O4" s="68">
        <f>O14*1000000000</f>
        <v>7.1465408839252814E-2</v>
      </c>
      <c r="P4" s="51">
        <f>P14</f>
        <v>2.0857818134034538</v>
      </c>
      <c r="Q4" s="71">
        <f>T14</f>
        <v>5.9602794221462738E-2</v>
      </c>
      <c r="R4" s="71">
        <f t="shared" ref="R4:S4" si="0">U14</f>
        <v>0.1148197697886584</v>
      </c>
      <c r="S4" s="51">
        <f t="shared" si="0"/>
        <v>2.1724689794385981</v>
      </c>
      <c r="U4" s="30">
        <f>C4-L4</f>
        <v>0</v>
      </c>
      <c r="V4" s="61">
        <f t="shared" ref="V4:AA4" si="1">D4-M4</f>
        <v>0</v>
      </c>
      <c r="W4" s="68">
        <f t="shared" si="1"/>
        <v>0</v>
      </c>
      <c r="X4" s="68">
        <f t="shared" si="1"/>
        <v>1.3594026845963059E-4</v>
      </c>
      <c r="Y4" s="51">
        <f t="shared" si="1"/>
        <v>1.6593715512769336E-6</v>
      </c>
      <c r="Z4" s="71">
        <f t="shared" si="1"/>
        <v>-7.042937509182251E-5</v>
      </c>
      <c r="AA4" s="71">
        <f t="shared" si="1"/>
        <v>-8.1574961564479659E-3</v>
      </c>
      <c r="AB4" s="51">
        <f>J4-S4</f>
        <v>4.6028733319241066E-2</v>
      </c>
    </row>
    <row r="5" spans="1:28" ht="13.5" customHeight="1" x14ac:dyDescent="0.3">
      <c r="A5" t="s">
        <v>132</v>
      </c>
      <c r="C5" s="30">
        <v>365383</v>
      </c>
      <c r="D5" s="61">
        <v>0.1</v>
      </c>
      <c r="E5" s="67">
        <f>VLOOKUP(A5,pyvalues,8,FALSE)</f>
        <v>100.11016593348063</v>
      </c>
      <c r="F5" s="67">
        <f>VLOOKUP(A5,pyvalues,9,FALSE)</f>
        <v>6.6549800149575383E-3</v>
      </c>
      <c r="G5" s="51">
        <f>VLOOKUP(A5,pyvalues,10,FALSE)</f>
        <v>2.072402428225959</v>
      </c>
      <c r="H5" s="65">
        <f>VLOOKUP(A5,pyvalues,14,FALSE)</f>
        <v>5.9859523998869957E-2</v>
      </c>
      <c r="I5" s="65">
        <f>VLOOKUP(A5,pyvalues,15,FALSE)</f>
        <v>3.9507272537637389E-2</v>
      </c>
      <c r="J5" s="51">
        <f>VLOOKUP(A5,pyvalues,16,FALSE)</f>
        <v>2.2184964310985849</v>
      </c>
      <c r="L5" s="30">
        <v>365383</v>
      </c>
      <c r="M5" s="61">
        <v>0.1</v>
      </c>
      <c r="N5" s="67">
        <f t="shared" ref="N5:O8" si="2">N15*1000000000</f>
        <v>100.1101659334807</v>
      </c>
      <c r="O5" s="67">
        <f t="shared" si="2"/>
        <v>6.6402115450588774E-3</v>
      </c>
      <c r="P5" s="51">
        <f t="shared" ref="P5:P8" si="3">P15</f>
        <v>2.072343902760978</v>
      </c>
      <c r="Q5" s="65">
        <f t="shared" ref="Q5:S5" si="4">T15</f>
        <v>5.9931122017391272E-2</v>
      </c>
      <c r="R5" s="65">
        <f t="shared" si="4"/>
        <v>3.8837282805836572E-2</v>
      </c>
      <c r="S5" s="51">
        <f t="shared" si="4"/>
        <v>2.177175394328033</v>
      </c>
      <c r="U5" s="30">
        <f t="shared" ref="U5:U8" si="5">C5-L5</f>
        <v>0</v>
      </c>
      <c r="V5" s="61">
        <f t="shared" ref="V5:V8" si="6">D5-M5</f>
        <v>0</v>
      </c>
      <c r="W5" s="67">
        <f t="shared" ref="W5:W8" si="7">E5-N5</f>
        <v>0</v>
      </c>
      <c r="X5" s="67">
        <f t="shared" ref="X5:X8" si="8">F5-O5</f>
        <v>1.4768469898660853E-5</v>
      </c>
      <c r="Y5" s="51">
        <f t="shared" ref="Y5:Y8" si="9">G5-P5</f>
        <v>5.8525464980974107E-5</v>
      </c>
      <c r="Z5" s="65">
        <f t="shared" ref="Z5:Z8" si="10">H5-Q5</f>
        <v>-7.1598018521315532E-5</v>
      </c>
      <c r="AA5" s="65">
        <f t="shared" ref="AA5:AA8" si="11">I5-R5</f>
        <v>6.6998973180081717E-4</v>
      </c>
      <c r="AB5" s="51">
        <f t="shared" ref="AB5:AB8" si="12">J5-S5</f>
        <v>4.1321036770551878E-2</v>
      </c>
    </row>
    <row r="6" spans="1:28" ht="13.5" customHeight="1" x14ac:dyDescent="0.3">
      <c r="A6" t="s">
        <v>133</v>
      </c>
      <c r="C6" s="30">
        <v>365381</v>
      </c>
      <c r="D6" s="62">
        <v>0.01</v>
      </c>
      <c r="E6" s="66">
        <f>VLOOKUP(A6,pyvalues,8,FALSE)</f>
        <v>9.9926149085179841</v>
      </c>
      <c r="F6" s="66">
        <f>VLOOKUP(A6,pyvalues,9,FALSE)</f>
        <v>6.5151855118292387E-4</v>
      </c>
      <c r="G6" s="51">
        <f>VLOOKUP(A6,pyvalues,10,FALSE)</f>
        <v>2.0667798183120669</v>
      </c>
      <c r="H6" s="65">
        <f>VLOOKUP(A6,pyvalues,14,FALSE)</f>
        <v>6.4953444675869901E-2</v>
      </c>
      <c r="I6" s="65">
        <f>VLOOKUP(A6,pyvalues,15,FALSE)</f>
        <v>3.8203225189937462E-2</v>
      </c>
      <c r="J6" s="51">
        <f>VLOOKUP(A6,pyvalues,16,FALSE)</f>
        <v>2.2184441011364608</v>
      </c>
      <c r="L6" s="30">
        <v>365381</v>
      </c>
      <c r="M6" s="62">
        <v>0.01</v>
      </c>
      <c r="N6" s="66">
        <f t="shared" si="2"/>
        <v>9.9926149085179841</v>
      </c>
      <c r="O6" s="66">
        <f t="shared" si="2"/>
        <v>6.4882591741442547E-4</v>
      </c>
      <c r="P6" s="51">
        <f t="shared" si="3"/>
        <v>2.0613653950316548</v>
      </c>
      <c r="Q6" s="65">
        <f t="shared" ref="Q6:S6" si="13">T16</f>
        <v>6.5044944111281561E-2</v>
      </c>
      <c r="R6" s="65">
        <f t="shared" si="13"/>
        <v>3.7957107023810749E-2</v>
      </c>
      <c r="S6" s="51">
        <f t="shared" si="13"/>
        <v>2.217933756545964</v>
      </c>
      <c r="U6" s="30">
        <f t="shared" si="5"/>
        <v>0</v>
      </c>
      <c r="V6" s="62">
        <f t="shared" si="6"/>
        <v>0</v>
      </c>
      <c r="W6" s="66">
        <f t="shared" si="7"/>
        <v>0</v>
      </c>
      <c r="X6" s="66">
        <f t="shared" si="8"/>
        <v>2.6926337684983958E-6</v>
      </c>
      <c r="Y6" s="51">
        <f t="shared" si="9"/>
        <v>5.414423280412084E-3</v>
      </c>
      <c r="Z6" s="65">
        <f t="shared" si="10"/>
        <v>-9.1499435411659946E-5</v>
      </c>
      <c r="AA6" s="65">
        <f t="shared" si="11"/>
        <v>2.4611816612671311E-4</v>
      </c>
      <c r="AB6" s="51">
        <f t="shared" si="12"/>
        <v>5.1034459049681402E-4</v>
      </c>
    </row>
    <row r="7" spans="1:28" ht="13.5" customHeight="1" x14ac:dyDescent="0.3">
      <c r="A7" t="s">
        <v>134</v>
      </c>
      <c r="C7" s="30">
        <v>365391</v>
      </c>
      <c r="D7" s="63">
        <v>1E-3</v>
      </c>
      <c r="E7" s="66">
        <f>VLOOKUP(A7,pyvalues,8,FALSE)</f>
        <v>0.98801305447536303</v>
      </c>
      <c r="F7" s="66">
        <f>VLOOKUP(A7,pyvalues,9,FALSE)</f>
        <v>1.2409126123046163E-4</v>
      </c>
      <c r="G7" s="51">
        <f>VLOOKUP(A7,pyvalues,10,FALSE)</f>
        <v>2.0922642604954929</v>
      </c>
      <c r="H7" s="65">
        <f>VLOOKUP(A7,pyvalues,14,FALSE)</f>
        <v>1.7305938922610467E-2</v>
      </c>
      <c r="I7" s="65">
        <f>VLOOKUP(A7,pyvalues,15,FALSE)</f>
        <v>3.8192181386740222E-2</v>
      </c>
      <c r="J7" s="51">
        <f>VLOOKUP(A7,pyvalues,16,FALSE)</f>
        <v>2.2182036821523758</v>
      </c>
      <c r="L7" s="30">
        <v>365391</v>
      </c>
      <c r="M7" s="63">
        <v>1E-3</v>
      </c>
      <c r="N7" s="66">
        <f t="shared" si="2"/>
        <v>0.98801305447536303</v>
      </c>
      <c r="O7" s="66">
        <f t="shared" si="2"/>
        <v>1.274735775883661E-4</v>
      </c>
      <c r="P7" s="51">
        <f t="shared" si="3"/>
        <v>2.0877049784871571</v>
      </c>
      <c r="Q7" s="65">
        <f t="shared" ref="Q7:S7" si="14">T17</f>
        <v>1.7307666811617849E-2</v>
      </c>
      <c r="R7" s="65">
        <f t="shared" si="14"/>
        <v>3.7907135957196372E-2</v>
      </c>
      <c r="S7" s="51">
        <f t="shared" si="14"/>
        <v>2.218178264224334</v>
      </c>
      <c r="U7" s="30">
        <f t="shared" si="5"/>
        <v>0</v>
      </c>
      <c r="V7" s="63">
        <f t="shared" si="6"/>
        <v>0</v>
      </c>
      <c r="W7" s="66">
        <f t="shared" si="7"/>
        <v>0</v>
      </c>
      <c r="X7" s="66">
        <f t="shared" si="8"/>
        <v>-3.3823163579044615E-6</v>
      </c>
      <c r="Y7" s="51">
        <f t="shared" si="9"/>
        <v>4.5592820083357743E-3</v>
      </c>
      <c r="Z7" s="65">
        <f t="shared" si="10"/>
        <v>-1.7278890073815778E-6</v>
      </c>
      <c r="AA7" s="65">
        <f t="shared" si="11"/>
        <v>2.8504542954384954E-4</v>
      </c>
      <c r="AB7" s="51">
        <f t="shared" si="12"/>
        <v>2.5417928041893134E-5</v>
      </c>
    </row>
    <row r="8" spans="1:28" ht="13.5" customHeight="1" x14ac:dyDescent="0.3">
      <c r="A8" t="s">
        <v>135</v>
      </c>
      <c r="C8" s="30">
        <v>365396</v>
      </c>
      <c r="D8" s="64">
        <v>5.0000000000000001E-4</v>
      </c>
      <c r="E8" s="66">
        <f>VLOOKUP(A8,pyvalues,8,FALSE)</f>
        <v>0.49052800245748368</v>
      </c>
      <c r="F8" s="66">
        <f>VLOOKUP(A8,pyvalues,9,FALSE)</f>
        <v>1.0599618126166668E-4</v>
      </c>
      <c r="G8" s="51">
        <f>VLOOKUP(A8,pyvalues,10,FALSE)</f>
        <v>2.080247270689874</v>
      </c>
      <c r="H8" s="65">
        <f>VLOOKUP(A8,pyvalues,14,FALSE)</f>
        <v>6.1083222012727811E-2</v>
      </c>
      <c r="I8" s="65">
        <f>VLOOKUP(A8,pyvalues,15,FALSE)</f>
        <v>3.9479207220544564E-2</v>
      </c>
      <c r="J8" s="51">
        <f>VLOOKUP(A8,pyvalues,16,FALSE)</f>
        <v>2.1914036340322078</v>
      </c>
      <c r="L8" s="30">
        <v>365396</v>
      </c>
      <c r="M8" s="64">
        <v>5.0000000000000001E-4</v>
      </c>
      <c r="N8" s="66">
        <f t="shared" si="2"/>
        <v>0.49052800245748363</v>
      </c>
      <c r="O8" s="66">
        <f t="shared" si="2"/>
        <v>1.145861490917133E-4</v>
      </c>
      <c r="P8" s="51">
        <f t="shared" si="3"/>
        <v>2.172988210012075</v>
      </c>
      <c r="Q8" s="65">
        <f t="shared" ref="Q8:S8" si="15">T18</f>
        <v>6.1159305916207038E-2</v>
      </c>
      <c r="R8" s="65">
        <f t="shared" si="15"/>
        <v>3.8386451805970119E-2</v>
      </c>
      <c r="S8" s="51">
        <f t="shared" si="15"/>
        <v>2.1912720519149769</v>
      </c>
      <c r="U8" s="30">
        <f t="shared" si="5"/>
        <v>0</v>
      </c>
      <c r="V8" s="64">
        <f t="shared" si="6"/>
        <v>0</v>
      </c>
      <c r="W8" s="66">
        <f t="shared" si="7"/>
        <v>0</v>
      </c>
      <c r="X8" s="66">
        <f t="shared" si="8"/>
        <v>-8.5899678300466236E-6</v>
      </c>
      <c r="Y8" s="51">
        <f t="shared" si="9"/>
        <v>-9.2740939322200955E-2</v>
      </c>
      <c r="Z8" s="65">
        <f t="shared" si="10"/>
        <v>-7.6083903479226556E-5</v>
      </c>
      <c r="AA8" s="65">
        <f t="shared" si="11"/>
        <v>1.092755414574445E-3</v>
      </c>
      <c r="AB8" s="51">
        <f t="shared" si="12"/>
        <v>1.3158211723096613E-4</v>
      </c>
    </row>
    <row r="9" spans="1:28" ht="13.5" customHeight="1" x14ac:dyDescent="0.3">
      <c r="C9" s="30"/>
      <c r="D9" s="54"/>
      <c r="E9" s="54"/>
      <c r="F9" s="57"/>
      <c r="G9" s="51"/>
      <c r="H9" s="56"/>
      <c r="I9" s="56"/>
      <c r="J9" s="51"/>
    </row>
    <row r="10" spans="1:28" ht="13.5" customHeight="1" x14ac:dyDescent="0.3">
      <c r="C10" s="30"/>
      <c r="D10" s="54"/>
      <c r="E10" s="54"/>
      <c r="F10" s="57"/>
      <c r="G10" s="51"/>
      <c r="H10" s="56"/>
      <c r="I10" s="56"/>
      <c r="J10" s="51"/>
    </row>
    <row r="11" spans="1:28" ht="13.5" customHeight="1" x14ac:dyDescent="0.3">
      <c r="C11" s="30"/>
      <c r="D11" s="54"/>
      <c r="E11" s="55"/>
      <c r="F11" s="58"/>
      <c r="G11" s="51"/>
      <c r="H11" s="56"/>
      <c r="I11" s="56"/>
      <c r="J11" s="51"/>
    </row>
    <row r="12" spans="1:28" ht="13.5" customHeight="1" x14ac:dyDescent="0.3">
      <c r="C12" s="30"/>
      <c r="D12" s="54"/>
      <c r="E12" s="55"/>
      <c r="F12" s="58"/>
      <c r="G12" s="51"/>
      <c r="H12" s="56"/>
      <c r="I12" s="56"/>
      <c r="J12" s="51"/>
    </row>
    <row r="13" spans="1:28" ht="13.5" customHeight="1" x14ac:dyDescent="0.3">
      <c r="C13" s="30"/>
      <c r="D13" s="55"/>
      <c r="E13" s="54"/>
      <c r="F13" s="57"/>
      <c r="G13" s="51"/>
      <c r="H13" s="56"/>
      <c r="I13" s="56"/>
      <c r="J13" s="51"/>
      <c r="N13" s="25" t="s">
        <v>157</v>
      </c>
    </row>
    <row r="14" spans="1:28" ht="13.5" customHeight="1" x14ac:dyDescent="0.3">
      <c r="C14" s="30"/>
      <c r="D14" s="55"/>
      <c r="E14" s="54"/>
      <c r="F14" s="57"/>
      <c r="G14" s="51"/>
      <c r="H14" s="56"/>
      <c r="I14" s="56"/>
      <c r="J14" s="51"/>
      <c r="N14" s="48">
        <v>9.9990554982085122E-7</v>
      </c>
      <c r="O14" s="48">
        <v>7.1465408839252808E-11</v>
      </c>
      <c r="P14" s="48">
        <v>2.0857818134034538</v>
      </c>
      <c r="Q14" s="48">
        <v>5.9597164797443597E-7</v>
      </c>
      <c r="R14" s="48">
        <v>3.8024385032300401E-7</v>
      </c>
      <c r="S14" s="48">
        <v>2.2184874780270332</v>
      </c>
      <c r="T14" s="48">
        <v>5.9602794221462738E-2</v>
      </c>
      <c r="U14" s="48">
        <v>0.1148197697886584</v>
      </c>
      <c r="V14" s="48">
        <v>2.1724689794385981</v>
      </c>
    </row>
    <row r="15" spans="1:28" ht="13.5" customHeight="1" x14ac:dyDescent="0.3">
      <c r="C15" s="30"/>
      <c r="D15" s="55"/>
      <c r="E15" s="55"/>
      <c r="F15" s="58"/>
      <c r="G15" s="51"/>
      <c r="H15" s="56"/>
      <c r="I15" s="56"/>
      <c r="J15" s="51"/>
      <c r="N15" s="48">
        <v>1.001101659334807E-7</v>
      </c>
      <c r="O15" s="48">
        <v>6.6402115450588771E-12</v>
      </c>
      <c r="P15" s="48">
        <v>2.072343902760978</v>
      </c>
      <c r="Q15" s="48">
        <v>5.9997145769238531E-8</v>
      </c>
      <c r="R15" s="48">
        <v>3.8026056265551801E-8</v>
      </c>
      <c r="S15" s="48">
        <v>2.2184832529454761</v>
      </c>
      <c r="T15" s="48">
        <v>5.9931122017391272E-2</v>
      </c>
      <c r="U15" s="48">
        <v>3.8837282805836572E-2</v>
      </c>
      <c r="V15" s="48">
        <v>2.177175394328033</v>
      </c>
    </row>
    <row r="16" spans="1:28" ht="13.5" customHeight="1" x14ac:dyDescent="0.3">
      <c r="C16" s="30"/>
      <c r="D16" s="55"/>
      <c r="E16" s="55"/>
      <c r="F16" s="58"/>
      <c r="G16" s="51"/>
      <c r="H16" s="56"/>
      <c r="I16" s="56"/>
      <c r="J16" s="51"/>
      <c r="N16" s="48">
        <v>9.9926149085179836E-9</v>
      </c>
      <c r="O16" s="48">
        <v>6.4882591741442546E-13</v>
      </c>
      <c r="P16" s="48">
        <v>2.0613653950316548</v>
      </c>
      <c r="Q16" s="48">
        <v>6.4996907916675071E-9</v>
      </c>
      <c r="R16" s="48">
        <v>3.7921348431770496E-9</v>
      </c>
      <c r="S16" s="48">
        <v>2.2184275346652078</v>
      </c>
      <c r="T16" s="48">
        <v>6.5044944111281561E-2</v>
      </c>
      <c r="U16" s="48">
        <v>3.7957107023810749E-2</v>
      </c>
      <c r="V16" s="48">
        <v>2.217933756545964</v>
      </c>
    </row>
    <row r="17" spans="3:22" ht="13" x14ac:dyDescent="0.3">
      <c r="C17" s="30"/>
      <c r="D17" s="50"/>
      <c r="E17" s="49"/>
      <c r="F17" s="57"/>
      <c r="G17" s="51"/>
      <c r="H17" s="52"/>
      <c r="I17" s="52"/>
      <c r="J17" s="51"/>
      <c r="N17" s="48">
        <v>9.8801305447536302E-10</v>
      </c>
      <c r="O17" s="48">
        <v>1.274735775883661E-13</v>
      </c>
      <c r="P17" s="48">
        <v>2.0877049784871571</v>
      </c>
      <c r="Q17" s="48">
        <v>1.7100200754095899E-10</v>
      </c>
      <c r="R17" s="48">
        <v>3.7452670416123788E-10</v>
      </c>
      <c r="S17" s="48">
        <v>2.2181831068370799</v>
      </c>
      <c r="T17" s="48">
        <v>1.7307666811617849E-2</v>
      </c>
      <c r="U17" s="48">
        <v>3.7907135957196372E-2</v>
      </c>
      <c r="V17" s="48">
        <v>2.218178264224334</v>
      </c>
    </row>
    <row r="18" spans="3:22" ht="13" x14ac:dyDescent="0.3">
      <c r="C18" s="30"/>
      <c r="D18" s="50"/>
      <c r="E18" s="49"/>
      <c r="F18" s="57"/>
      <c r="G18" s="51"/>
      <c r="H18" s="52"/>
      <c r="I18" s="52"/>
      <c r="J18" s="51"/>
      <c r="N18" s="48">
        <v>4.9052800245748365E-10</v>
      </c>
      <c r="O18" s="48">
        <v>1.145861490917133E-13</v>
      </c>
      <c r="P18" s="48">
        <v>2.172988210012075</v>
      </c>
      <c r="Q18" s="48">
        <v>3.0000352200168249E-10</v>
      </c>
      <c r="R18" s="48">
        <v>1.882961909642853E-10</v>
      </c>
      <c r="S18" s="48">
        <v>2.191273122196423</v>
      </c>
      <c r="T18" s="48">
        <v>6.1159305916207038E-2</v>
      </c>
      <c r="U18" s="48">
        <v>3.8386451805970119E-2</v>
      </c>
      <c r="V18" s="48">
        <v>2.1912720519149769</v>
      </c>
    </row>
    <row r="19" spans="3:22" ht="13" x14ac:dyDescent="0.3">
      <c r="C19" s="30"/>
      <c r="D19" s="50"/>
      <c r="E19" s="49"/>
      <c r="F19" s="57"/>
      <c r="G19" s="51"/>
      <c r="H19" s="52"/>
      <c r="I19" s="52"/>
      <c r="J19" s="51"/>
    </row>
    <row r="20" spans="3:22" ht="13" x14ac:dyDescent="0.3">
      <c r="C20" s="30"/>
      <c r="D20" s="50"/>
      <c r="E20" s="49"/>
      <c r="F20" s="57"/>
      <c r="G20" s="51"/>
      <c r="H20" s="52"/>
      <c r="I20" s="52"/>
      <c r="J20" s="51"/>
    </row>
    <row r="21" spans="3:22" ht="13" x14ac:dyDescent="0.3">
      <c r="C21" s="30"/>
      <c r="D21" s="50"/>
      <c r="E21" s="49"/>
      <c r="F21" s="57"/>
      <c r="G21" s="51"/>
      <c r="H21" s="52"/>
      <c r="I21" s="52"/>
      <c r="J21" s="51"/>
    </row>
    <row r="22" spans="3:22" ht="13" x14ac:dyDescent="0.3">
      <c r="C22" s="30"/>
      <c r="D22" s="50"/>
      <c r="E22" s="49"/>
      <c r="F22" s="57"/>
      <c r="G22" s="51"/>
      <c r="H22" s="52"/>
      <c r="I22" s="52"/>
      <c r="J22" s="51"/>
    </row>
  </sheetData>
  <sortState xmlns:xlrd2="http://schemas.microsoft.com/office/spreadsheetml/2017/richdata2" ref="B3:B22">
    <sortCondition ref="B3:B22"/>
  </sortState>
  <pageMargins left="0.7" right="0.7" top="0.75" bottom="0.75" header="0.3" footer="0.3"/>
  <pageSetup paperSize="9" scale="4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97D00-335F-4593-A995-9B378F19D789}">
  <dimension ref="A4:W20"/>
  <sheetViews>
    <sheetView tabSelected="1" workbookViewId="0">
      <selection activeCell="A2" sqref="A2"/>
    </sheetView>
  </sheetViews>
  <sheetFormatPr defaultRowHeight="12.5" x14ac:dyDescent="0.25"/>
  <cols>
    <col min="1" max="1" width="17" customWidth="1"/>
    <col min="3" max="3" width="13.1796875" customWidth="1"/>
    <col min="4" max="4" width="10.08984375" customWidth="1"/>
    <col min="5" max="7" width="15.7265625" customWidth="1"/>
    <col min="8" max="8" width="15.26953125" customWidth="1"/>
    <col min="9" max="11" width="13.7265625" customWidth="1"/>
    <col min="12" max="12" width="10.26953125" customWidth="1"/>
    <col min="13" max="15" width="14.08984375" customWidth="1"/>
    <col min="16" max="16" width="15.08984375" customWidth="1"/>
    <col min="17" max="19" width="10.26953125" customWidth="1"/>
    <col min="20" max="20" width="8.6328125"/>
    <col min="21" max="21" width="8.90625" customWidth="1"/>
  </cols>
  <sheetData>
    <row r="4" spans="1:23" x14ac:dyDescent="0.25">
      <c r="D4" t="s">
        <v>167</v>
      </c>
      <c r="H4" t="s">
        <v>168</v>
      </c>
      <c r="L4" t="s">
        <v>169</v>
      </c>
      <c r="P4" t="s">
        <v>170</v>
      </c>
      <c r="T4" t="s">
        <v>171</v>
      </c>
    </row>
    <row r="5" spans="1:23" x14ac:dyDescent="0.25">
      <c r="D5" t="s">
        <v>172</v>
      </c>
      <c r="E5" t="s">
        <v>173</v>
      </c>
      <c r="F5" t="s">
        <v>174</v>
      </c>
      <c r="G5" t="s">
        <v>175</v>
      </c>
      <c r="H5" t="s">
        <v>172</v>
      </c>
      <c r="I5" t="s">
        <v>173</v>
      </c>
      <c r="J5" t="s">
        <v>174</v>
      </c>
      <c r="K5" t="s">
        <v>175</v>
      </c>
      <c r="L5" t="s">
        <v>172</v>
      </c>
      <c r="M5" t="s">
        <v>173</v>
      </c>
      <c r="N5" t="s">
        <v>174</v>
      </c>
      <c r="O5" t="s">
        <v>175</v>
      </c>
      <c r="P5" t="s">
        <v>172</v>
      </c>
      <c r="Q5" t="s">
        <v>173</v>
      </c>
      <c r="R5" t="s">
        <v>174</v>
      </c>
      <c r="S5" t="s">
        <v>175</v>
      </c>
      <c r="T5" t="s">
        <v>172</v>
      </c>
      <c r="U5" t="s">
        <v>173</v>
      </c>
      <c r="V5" t="s">
        <v>174</v>
      </c>
      <c r="W5" t="s">
        <v>175</v>
      </c>
    </row>
    <row r="6" spans="1:23" x14ac:dyDescent="0.25">
      <c r="B6" t="s">
        <v>176</v>
      </c>
      <c r="C6" s="1">
        <v>34982</v>
      </c>
      <c r="D6" s="76">
        <v>0.99984898120800003</v>
      </c>
      <c r="E6">
        <v>1.2E-4</v>
      </c>
      <c r="F6" s="11">
        <v>7.1008238578412194E-2</v>
      </c>
      <c r="G6" s="11">
        <v>3.9380639458263901E-2</v>
      </c>
      <c r="H6" s="5">
        <v>100.0905066744</v>
      </c>
      <c r="I6" s="5">
        <v>1.2349221373891999E-2</v>
      </c>
      <c r="J6" s="5">
        <v>8.5919227364642095E-2</v>
      </c>
      <c r="K6" s="5">
        <v>3.9380639458263901E-2</v>
      </c>
      <c r="L6" s="23">
        <v>9.9926499999999994</v>
      </c>
      <c r="M6" s="23">
        <v>1.51448563474422E-3</v>
      </c>
      <c r="N6" s="23">
        <v>9.4069140818501595E-2</v>
      </c>
      <c r="O6" s="23">
        <v>0.109424768678932</v>
      </c>
      <c r="P6" s="36">
        <v>0.98794400000000004</v>
      </c>
      <c r="Q6" s="36">
        <v>1.8139725258074801E-4</v>
      </c>
      <c r="R6" s="6">
        <v>3.8463718591337202E-2</v>
      </c>
      <c r="S6" s="6">
        <v>0.109424768678932</v>
      </c>
      <c r="T6" s="11">
        <v>490.4</v>
      </c>
      <c r="U6" s="22">
        <v>0.134704893568276</v>
      </c>
      <c r="V6" s="6">
        <v>0.101957585644372</v>
      </c>
      <c r="W6" s="6">
        <v>0.109424768678932</v>
      </c>
    </row>
    <row r="7" spans="1:23" x14ac:dyDescent="0.25">
      <c r="B7" t="s">
        <v>177</v>
      </c>
      <c r="C7" s="1">
        <v>37224</v>
      </c>
      <c r="D7" s="76">
        <v>0.99982965725120398</v>
      </c>
      <c r="E7">
        <v>1.2E-4</v>
      </c>
      <c r="F7" s="11">
        <v>5.2006703070784303E-2</v>
      </c>
      <c r="G7" s="11">
        <v>3.9873098835993798E-2</v>
      </c>
      <c r="H7" s="5">
        <v>100.09067333674101</v>
      </c>
      <c r="I7" s="5">
        <v>1.23695848635231E-2</v>
      </c>
      <c r="J7" s="5">
        <v>6.2840412698467699E-2</v>
      </c>
      <c r="K7" s="5">
        <v>3.9873098835993798E-2</v>
      </c>
      <c r="L7" s="23">
        <v>9.9928000000000008</v>
      </c>
      <c r="M7" s="23">
        <v>1.51448563474422E-3</v>
      </c>
      <c r="N7" s="23">
        <v>0.18813545752942101</v>
      </c>
      <c r="O7" s="23">
        <v>0.109424768678932</v>
      </c>
      <c r="P7" s="36">
        <v>0.98795999999999995</v>
      </c>
      <c r="Q7" s="36">
        <v>1.8139725258074801E-4</v>
      </c>
      <c r="R7" s="6">
        <v>8.0974938256609605E-2</v>
      </c>
      <c r="S7" s="6">
        <v>0.109424768678932</v>
      </c>
      <c r="T7" s="11">
        <v>490.43</v>
      </c>
      <c r="U7" s="22">
        <v>0.134704893568276</v>
      </c>
      <c r="V7" s="6">
        <v>0.142731888342883</v>
      </c>
      <c r="W7" s="6">
        <v>0.109424768678932</v>
      </c>
    </row>
    <row r="8" spans="1:23" x14ac:dyDescent="0.25">
      <c r="B8" t="s">
        <v>179</v>
      </c>
      <c r="C8" s="1">
        <v>40239</v>
      </c>
      <c r="D8" s="76">
        <v>0.99984393288559803</v>
      </c>
      <c r="E8">
        <v>6.0000000000000002E-5</v>
      </c>
      <c r="F8" s="11">
        <v>6.4606992388226606E-2</v>
      </c>
      <c r="G8" s="11">
        <v>0.12412226972158</v>
      </c>
      <c r="H8" s="5">
        <v>100.09700116478299</v>
      </c>
      <c r="I8">
        <v>6.0000000000000001E-3</v>
      </c>
      <c r="J8" s="5">
        <v>5.8140818283707298E-2</v>
      </c>
      <c r="K8" s="5">
        <v>3.5704104239805703E-2</v>
      </c>
      <c r="L8" s="23">
        <v>9.99211888678024</v>
      </c>
      <c r="M8">
        <v>6.9999999999999999E-4</v>
      </c>
      <c r="N8" s="23">
        <v>8.3762009353640698E-2</v>
      </c>
      <c r="O8" s="23">
        <v>3.4588099245906001E-2</v>
      </c>
      <c r="P8" s="36">
        <v>0.98810980539087401</v>
      </c>
      <c r="Q8" s="36">
        <v>1.2E-4</v>
      </c>
      <c r="R8" s="6">
        <v>2.4390419823040101E-2</v>
      </c>
      <c r="S8" s="6">
        <v>3.4606519179389401E-2</v>
      </c>
      <c r="T8" s="11">
        <v>490.54967980760102</v>
      </c>
      <c r="U8">
        <v>0.11</v>
      </c>
      <c r="V8" s="6">
        <v>6.7476483165572101E-2</v>
      </c>
      <c r="W8" s="6">
        <v>3.5041245658197301E-2</v>
      </c>
    </row>
    <row r="9" spans="1:23" x14ac:dyDescent="0.25">
      <c r="B9" t="s">
        <v>178</v>
      </c>
      <c r="C9" s="1">
        <v>42614</v>
      </c>
      <c r="D9" s="36">
        <v>0.99987199400294302</v>
      </c>
      <c r="E9" s="36">
        <v>6.6167070953980205E-5</v>
      </c>
      <c r="F9" s="11">
        <v>5.9005866521474097E-2</v>
      </c>
      <c r="G9" s="11">
        <v>0.124125223117055</v>
      </c>
      <c r="H9" s="6">
        <v>100.103507542209</v>
      </c>
      <c r="I9" s="6">
        <v>6.6244554303231404E-3</v>
      </c>
      <c r="J9" s="6">
        <v>5.9037202600681099E-2</v>
      </c>
      <c r="K9" s="6">
        <v>3.56622039380039E-2</v>
      </c>
      <c r="L9" s="16">
        <v>9.99270951928216</v>
      </c>
      <c r="M9" s="16">
        <v>6.6133367932442403E-4</v>
      </c>
      <c r="N9" s="23">
        <v>6.3644581880071702E-2</v>
      </c>
      <c r="O9" s="23">
        <v>3.4547136612944201E-2</v>
      </c>
      <c r="P9" s="36">
        <v>0.98812337959018204</v>
      </c>
      <c r="Q9" s="36">
        <v>1.3006943735083802E-4</v>
      </c>
      <c r="R9" s="6">
        <v>1.7407349301951001E-2</v>
      </c>
      <c r="S9" s="6">
        <v>3.4564963392378197E-2</v>
      </c>
      <c r="T9" s="11">
        <v>490.54171822200198</v>
      </c>
      <c r="U9" s="11">
        <v>0.124008519254815</v>
      </c>
      <c r="V9" s="6">
        <v>5.93242714345825E-2</v>
      </c>
      <c r="W9" s="6">
        <v>3.4862318709314201E-2</v>
      </c>
    </row>
    <row r="10" spans="1:23" x14ac:dyDescent="0.25">
      <c r="A10" t="s">
        <v>180</v>
      </c>
      <c r="B10" t="s">
        <v>155</v>
      </c>
      <c r="C10" s="1">
        <f>pyUBreadings!$B$4</f>
        <v>45819</v>
      </c>
      <c r="D10" s="36">
        <f>pyReport!N4/1000</f>
        <v>0.99990554982085122</v>
      </c>
      <c r="E10" s="36">
        <f>pyReport!O4/1000</f>
        <v>7.1465408839252811E-5</v>
      </c>
      <c r="F10" s="11">
        <f>pyReport!Q4</f>
        <v>5.9602794221462738E-2</v>
      </c>
      <c r="G10" s="11">
        <f>pyReport!R4</f>
        <v>0.1148197697886584</v>
      </c>
      <c r="H10" s="6">
        <f>pyReport!N5</f>
        <v>100.1101659334807</v>
      </c>
      <c r="I10" s="6">
        <f>pyReport!O5</f>
        <v>6.6402115450588774E-3</v>
      </c>
      <c r="J10" s="6">
        <f>pyReport!Q5</f>
        <v>5.9931122017391272E-2</v>
      </c>
      <c r="K10" s="6">
        <f>pyReport!R5</f>
        <v>3.8837282805836572E-2</v>
      </c>
      <c r="L10" s="16">
        <f>pyReport!N6</f>
        <v>9.9926149085179841</v>
      </c>
      <c r="M10" s="16">
        <f>pyReport!O6</f>
        <v>6.4882591741442547E-4</v>
      </c>
      <c r="N10" s="23">
        <f>pyReport!Q6</f>
        <v>6.5044944111281561E-2</v>
      </c>
      <c r="O10" s="23">
        <f>pyReport!R6</f>
        <v>3.7957107023810749E-2</v>
      </c>
      <c r="P10" s="36">
        <f>pyReport!N7</f>
        <v>0.98801305447536303</v>
      </c>
      <c r="Q10" s="36">
        <f>pyReport!O7</f>
        <v>1.274735775883661E-4</v>
      </c>
      <c r="R10" s="6">
        <f>pyReport!Q7</f>
        <v>1.7307666811617849E-2</v>
      </c>
      <c r="S10" s="6">
        <f>pyReport!R7</f>
        <v>3.7907135957196372E-2</v>
      </c>
      <c r="T10" s="11">
        <f>pyReport!N8*1000</f>
        <v>490.52800245748364</v>
      </c>
      <c r="U10" s="11">
        <f>pyReport!O8*1000</f>
        <v>0.1145861490917133</v>
      </c>
      <c r="V10" s="6">
        <f>pyReport!Q8</f>
        <v>6.1159305916207038E-2</v>
      </c>
      <c r="W10" s="6">
        <f>pyReport!R8</f>
        <v>3.8386451805970119E-2</v>
      </c>
    </row>
    <row r="12" spans="1:23" x14ac:dyDescent="0.25">
      <c r="B12" t="s">
        <v>21</v>
      </c>
    </row>
    <row r="13" spans="1:23" x14ac:dyDescent="0.25">
      <c r="C13" s="1">
        <v>34982</v>
      </c>
      <c r="D13" s="13">
        <f>(D6/1-1)*1000000</f>
        <v>-151.01879199996836</v>
      </c>
      <c r="E13" s="13">
        <f>E6/D6*1000000</f>
        <v>120.01812499225444</v>
      </c>
      <c r="H13" s="13">
        <f>(H6/100-1)*1000000</f>
        <v>905.06674400003817</v>
      </c>
      <c r="I13" s="13">
        <f>I6/H6*1000000</f>
        <v>123.38054610977947</v>
      </c>
      <c r="L13" s="13">
        <f>(L6/10-1)*1000000</f>
        <v>-735.00000000004115</v>
      </c>
      <c r="M13" s="13">
        <f>M6/L6*1000000</f>
        <v>151.55996004505513</v>
      </c>
      <c r="P13" s="13">
        <f>(P6/1-1)*1000000</f>
        <v>-12055.999999999956</v>
      </c>
      <c r="Q13" s="13">
        <f>Q6/P6*1000000</f>
        <v>183.61086517125264</v>
      </c>
      <c r="T13" s="13">
        <f>(T6/500-1)*1000000</f>
        <v>-19199.999999999996</v>
      </c>
      <c r="U13" s="13">
        <f>U6/T6*1000000</f>
        <v>274.68371445407013</v>
      </c>
    </row>
    <row r="14" spans="1:23" x14ac:dyDescent="0.25">
      <c r="C14" s="1">
        <v>37224</v>
      </c>
      <c r="D14" s="13">
        <f t="shared" ref="D14:D20" si="0">(D7/1-1)*1000000</f>
        <v>-170.3427487960152</v>
      </c>
      <c r="E14" s="13">
        <f t="shared" ref="E14:E20" si="1">E7/D7*1000000</f>
        <v>120.02044461244701</v>
      </c>
      <c r="H14" s="13">
        <f t="shared" ref="H14:H17" si="2">(H7/100-1)*1000000</f>
        <v>906.73336740998423</v>
      </c>
      <c r="I14" s="13">
        <f t="shared" ref="I14:I20" si="3">I7/H7*1000000</f>
        <v>123.58379108818032</v>
      </c>
      <c r="L14" s="13">
        <f t="shared" ref="L14:L17" si="4">(L7/10-1)*1000000</f>
        <v>-719.99999999994293</v>
      </c>
      <c r="M14" s="13">
        <f t="shared" ref="M14:M20" si="5">M7/L7*1000000</f>
        <v>151.55768500762747</v>
      </c>
      <c r="P14" s="13">
        <f t="shared" ref="P14:P20" si="6">(P7/1-1)*1000000</f>
        <v>-12040.000000000051</v>
      </c>
      <c r="Q14" s="13">
        <f t="shared" ref="Q14:Q20" si="7">Q7/P7*1000000</f>
        <v>183.60789159555856</v>
      </c>
      <c r="T14" s="13">
        <f t="shared" ref="T14:T20" si="8">(T7/500-1)*1000000</f>
        <v>-19139.999999999935</v>
      </c>
      <c r="U14" s="13">
        <f t="shared" ref="U14:U20" si="9">U7/T7*1000000</f>
        <v>274.66691182895829</v>
      </c>
    </row>
    <row r="15" spans="1:23" x14ac:dyDescent="0.25">
      <c r="C15" s="1">
        <v>40239</v>
      </c>
      <c r="D15" s="13">
        <f t="shared" si="0"/>
        <v>-156.06711440196986</v>
      </c>
      <c r="E15" s="13">
        <f t="shared" si="1"/>
        <v>60.009365488508884</v>
      </c>
      <c r="H15" s="13">
        <f t="shared" si="2"/>
        <v>970.0116478299492</v>
      </c>
      <c r="I15" s="13">
        <f t="shared" si="3"/>
        <v>59.941855701776738</v>
      </c>
      <c r="L15" s="13">
        <f t="shared" si="4"/>
        <v>-788.1113219759817</v>
      </c>
      <c r="M15" s="13">
        <f t="shared" si="5"/>
        <v>70.055211305193055</v>
      </c>
      <c r="P15" s="13">
        <f t="shared" si="6"/>
        <v>-11890.194609125992</v>
      </c>
      <c r="Q15" s="13">
        <f t="shared" si="7"/>
        <v>121.44399270740027</v>
      </c>
      <c r="T15" s="13">
        <f t="shared" si="8"/>
        <v>-18900.640384797996</v>
      </c>
      <c r="U15" s="13">
        <f t="shared" si="9"/>
        <v>224.23824645679764</v>
      </c>
    </row>
    <row r="16" spans="1:23" x14ac:dyDescent="0.25">
      <c r="C16" s="1">
        <v>42614</v>
      </c>
      <c r="D16" s="13">
        <f t="shared" si="0"/>
        <v>-128.00599705697914</v>
      </c>
      <c r="E16" s="13">
        <f t="shared" si="1"/>
        <v>66.175541820191683</v>
      </c>
      <c r="H16" s="13">
        <f t="shared" si="2"/>
        <v>1035.075422090026</v>
      </c>
      <c r="I16" s="13">
        <f t="shared" si="3"/>
        <v>66.176057093003607</v>
      </c>
      <c r="L16" s="13">
        <f t="shared" si="4"/>
        <v>-729.04807178397755</v>
      </c>
      <c r="M16" s="13">
        <f t="shared" si="5"/>
        <v>66.181617513077853</v>
      </c>
      <c r="P16" s="13">
        <f t="shared" si="6"/>
        <v>-11876.620409817962</v>
      </c>
      <c r="Q16" s="13">
        <f t="shared" si="7"/>
        <v>131.63279003152775</v>
      </c>
      <c r="T16" s="13">
        <f t="shared" si="8"/>
        <v>-18916.563555996025</v>
      </c>
      <c r="U16" s="13">
        <f t="shared" si="9"/>
        <v>252.79912930604834</v>
      </c>
    </row>
    <row r="17" spans="3:21" x14ac:dyDescent="0.25">
      <c r="C17" s="1">
        <f>pyUBreadings!$B$4</f>
        <v>45819</v>
      </c>
      <c r="D17" s="13">
        <f t="shared" si="0"/>
        <v>-94.450179148775078</v>
      </c>
      <c r="E17" s="13">
        <f t="shared" si="1"/>
        <v>71.472159397512058</v>
      </c>
      <c r="H17" s="13">
        <f t="shared" si="2"/>
        <v>1101.6593348069925</v>
      </c>
      <c r="I17" s="13">
        <f t="shared" si="3"/>
        <v>66.329043440713491</v>
      </c>
      <c r="L17" s="13">
        <f t="shared" si="4"/>
        <v>-738.50914820161597</v>
      </c>
      <c r="M17" s="13">
        <f t="shared" si="5"/>
        <v>64.930543541845907</v>
      </c>
      <c r="P17" s="13">
        <f t="shared" si="6"/>
        <v>-11986.945524636971</v>
      </c>
      <c r="Q17" s="13">
        <f t="shared" si="7"/>
        <v>129.02013491719987</v>
      </c>
      <c r="T17" s="13">
        <f t="shared" si="8"/>
        <v>-18943.995085032751</v>
      </c>
      <c r="U17" s="13">
        <f t="shared" si="9"/>
        <v>233.59756938982298</v>
      </c>
    </row>
    <row r="18" spans="3:21" x14ac:dyDescent="0.25">
      <c r="D18" s="13"/>
      <c r="E18" s="13"/>
      <c r="H18" s="13"/>
      <c r="I18" s="13"/>
      <c r="L18" s="13"/>
      <c r="M18" s="13"/>
      <c r="P18" s="13"/>
      <c r="Q18" s="13"/>
      <c r="T18" s="13"/>
      <c r="U18" s="13"/>
    </row>
    <row r="19" spans="3:21" x14ac:dyDescent="0.25">
      <c r="D19" s="13"/>
      <c r="E19" s="13"/>
      <c r="H19" s="13"/>
      <c r="I19" s="13"/>
      <c r="L19" s="13"/>
      <c r="M19" s="13"/>
      <c r="P19" s="13"/>
      <c r="Q19" s="13"/>
      <c r="T19" s="13"/>
      <c r="U19" s="13"/>
    </row>
    <row r="20" spans="3:21" x14ac:dyDescent="0.25">
      <c r="D20" s="13"/>
      <c r="E20" s="13"/>
      <c r="H20" s="13"/>
      <c r="I20" s="13"/>
      <c r="L20" s="13"/>
      <c r="M20" s="13"/>
      <c r="P20" s="13"/>
      <c r="Q20" s="13"/>
      <c r="T20" s="13"/>
      <c r="U20" s="1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Commentary</vt:lpstr>
      <vt:lpstr>pyUBreadings</vt:lpstr>
      <vt:lpstr>pyUBresults</vt:lpstr>
      <vt:lpstr>pyReport</vt:lpstr>
      <vt:lpstr>CapHist</vt:lpstr>
      <vt:lpstr>pyvalues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Jones</dc:creator>
  <cp:lastModifiedBy>Keith Jones</cp:lastModifiedBy>
  <cp:lastPrinted>2017-05-30T01:29:38Z</cp:lastPrinted>
  <dcterms:created xsi:type="dcterms:W3CDTF">1999-09-28T04:51:25Z</dcterms:created>
  <dcterms:modified xsi:type="dcterms:W3CDTF">2025-06-30T04:16:34Z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0f3317-728b-413c-82e7-a8128c12a6dd_Enabled">
    <vt:lpwstr>true</vt:lpwstr>
  </property>
  <property fmtid="{D5CDD505-2E9C-101B-9397-08002B2CF9AE}" pid="3" name="MSIP_Label_fc0f3317-728b-413c-82e7-a8128c12a6dd_SetDate">
    <vt:lpwstr>2025-06-26T02:27:29Z</vt:lpwstr>
  </property>
  <property fmtid="{D5CDD505-2E9C-101B-9397-08002B2CF9AE}" pid="4" name="MSIP_Label_fc0f3317-728b-413c-82e7-a8128c12a6dd_Method">
    <vt:lpwstr>Standard</vt:lpwstr>
  </property>
  <property fmtid="{D5CDD505-2E9C-101B-9397-08002B2CF9AE}" pid="5" name="MSIP_Label_fc0f3317-728b-413c-82e7-a8128c12a6dd_Name">
    <vt:lpwstr>IN CONFIDENCE - GENERAL</vt:lpwstr>
  </property>
  <property fmtid="{D5CDD505-2E9C-101B-9397-08002B2CF9AE}" pid="6" name="MSIP_Label_fc0f3317-728b-413c-82e7-a8128c12a6dd_SiteId">
    <vt:lpwstr>ca6b2569-0949-4176-9e40-a0a96aea7b0a</vt:lpwstr>
  </property>
  <property fmtid="{D5CDD505-2E9C-101B-9397-08002B2CF9AE}" pid="7" name="MSIP_Label_fc0f3317-728b-413c-82e7-a8128c12a6dd_ActionId">
    <vt:lpwstr>df7cd92b-44ec-455e-941b-a18e55fb401b</vt:lpwstr>
  </property>
  <property fmtid="{D5CDD505-2E9C-101B-9397-08002B2CF9AE}" pid="8" name="MSIP_Label_fc0f3317-728b-413c-82e7-a8128c12a6dd_ContentBits">
    <vt:lpwstr>0</vt:lpwstr>
  </property>
  <property fmtid="{D5CDD505-2E9C-101B-9397-08002B2CF9AE}" pid="9" name="MSIP_Label_fc0f3317-728b-413c-82e7-a8128c12a6dd_Tag">
    <vt:lpwstr>10, 3, 0, 1</vt:lpwstr>
  </property>
</Properties>
</file>